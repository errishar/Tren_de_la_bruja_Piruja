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Users\mañana\Desktop\Curso java\Tren_de_la_bruja_Piruja\documentación\"/>
    </mc:Choice>
  </mc:AlternateContent>
  <xr:revisionPtr revIDLastSave="0" documentId="13_ncr:1_{13E85703-4500-47C1-959D-BDE9414D0C29}" xr6:coauthVersionLast="47" xr6:coauthVersionMax="47" xr10:uidLastSave="{00000000-0000-0000-0000-000000000000}"/>
  <bookViews>
    <workbookView xWindow="-120" yWindow="-120" windowWidth="29040" windowHeight="15720" tabRatio="809" firstSheet="3" activeTab="30" xr2:uid="{00000000-000D-0000-FFFF-FFFF00000000}"/>
  </bookViews>
  <sheets>
    <sheet name="23" sheetId="41" r:id="rId1"/>
    <sheet name="22" sheetId="26" r:id="rId2"/>
    <sheet name="21" sheetId="40" r:id="rId3"/>
    <sheet name="20" sheetId="39" r:id="rId4"/>
    <sheet name="19" sheetId="25" r:id="rId5"/>
    <sheet name="18" sheetId="29" r:id="rId6"/>
    <sheet name="17" sheetId="23" r:id="rId7"/>
    <sheet name="16" sheetId="21" r:id="rId8"/>
    <sheet name="15" sheetId="20" r:id="rId9"/>
    <sheet name="14" sheetId="19" r:id="rId10"/>
    <sheet name="13,5" sheetId="28" r:id="rId11"/>
    <sheet name="13" sheetId="18" r:id="rId12"/>
    <sheet name="12,5" sheetId="22" r:id="rId13"/>
    <sheet name="12" sheetId="17" r:id="rId14"/>
    <sheet name="11,5" sheetId="16" r:id="rId15"/>
    <sheet name="11 (2)" sheetId="27" r:id="rId16"/>
    <sheet name="11" sheetId="15" r:id="rId17"/>
    <sheet name="10,5" sheetId="14" r:id="rId18"/>
    <sheet name="10" sheetId="12" r:id="rId19"/>
    <sheet name="9,5" sheetId="11" r:id="rId20"/>
    <sheet name="9 LIBRO" sheetId="35" r:id="rId21"/>
    <sheet name="8,5" sheetId="9" r:id="rId22"/>
    <sheet name="8 LIBRO" sheetId="36" r:id="rId23"/>
    <sheet name="8" sheetId="8" r:id="rId24"/>
    <sheet name="7,5" sheetId="6" r:id="rId25"/>
    <sheet name="7,5 LIBRO" sheetId="38" r:id="rId26"/>
    <sheet name="7" sheetId="7" r:id="rId27"/>
    <sheet name="6,5" sheetId="5" r:id="rId28"/>
    <sheet name="6" sheetId="4" r:id="rId29"/>
    <sheet name="5,5 LIBRO" sheetId="37" r:id="rId30"/>
    <sheet name="Resumen" sheetId="42" r:id="rId31"/>
  </sheets>
  <definedNames>
    <definedName name="_xlnm.Print_Area" localSheetId="18">'10'!$A$1:$E$41</definedName>
    <definedName name="_xlnm.Print_Area" localSheetId="17">'10,5'!$A$1:$E$41</definedName>
    <definedName name="_xlnm.Print_Area" localSheetId="16">'11'!$A$1:$E$41</definedName>
    <definedName name="_xlnm.Print_Area" localSheetId="15">'11 (2)'!$A$1:$E$41</definedName>
    <definedName name="_xlnm.Print_Area" localSheetId="14">'11,5'!$A$1:$E$41</definedName>
    <definedName name="_xlnm.Print_Area" localSheetId="13">'12'!$A$1:$E$41</definedName>
    <definedName name="_xlnm.Print_Area" localSheetId="12">'12,5'!$A$1:$E$41</definedName>
    <definedName name="_xlnm.Print_Area" localSheetId="11">'13'!$A$1:$E$40</definedName>
    <definedName name="_xlnm.Print_Area" localSheetId="10">'13,5'!$A$1:$E$41</definedName>
    <definedName name="_xlnm.Print_Area" localSheetId="9">'14'!$I$1:$M$49</definedName>
    <definedName name="_xlnm.Print_Area" localSheetId="8">'15'!$A$1:$E$41</definedName>
    <definedName name="_xlnm.Print_Area" localSheetId="7">'16'!$A$1:$E$41</definedName>
    <definedName name="_xlnm.Print_Area" localSheetId="6">'17'!$G$1:$K$41</definedName>
    <definedName name="_xlnm.Print_Area" localSheetId="5">'18'!$A$1:$E$40</definedName>
    <definedName name="_xlnm.Print_Area" localSheetId="4">'19'!$H$1:$L$35</definedName>
    <definedName name="_xlnm.Print_Area" localSheetId="3">'20'!$A$1:$E$36</definedName>
    <definedName name="_xlnm.Print_Area" localSheetId="2">'21'!$G$1:$K$37</definedName>
    <definedName name="_xlnm.Print_Area" localSheetId="1">'22'!$G$1:$K$38</definedName>
    <definedName name="_xlnm.Print_Area" localSheetId="0">'23'!$A$1:$E$37</definedName>
    <definedName name="_xlnm.Print_Area" localSheetId="29">'5,5 LIBRO'!$A$1:$E$33</definedName>
    <definedName name="_xlnm.Print_Area" localSheetId="28">'6'!$A$1:$E$41</definedName>
    <definedName name="_xlnm.Print_Area" localSheetId="27">'6,5'!$A$1:$E$41</definedName>
    <definedName name="_xlnm.Print_Area" localSheetId="26">'7'!$A$1:$E$41</definedName>
    <definedName name="_xlnm.Print_Area" localSheetId="24">'7,5'!$B$2:$I$50</definedName>
    <definedName name="_xlnm.Print_Area" localSheetId="25">'7,5 LIBRO'!$A$1:$E$39</definedName>
    <definedName name="_xlnm.Print_Area" localSheetId="23">'8'!$B$2:$K$42</definedName>
    <definedName name="_xlnm.Print_Area" localSheetId="22">'8 LIBRO'!$A$1:$E$41</definedName>
    <definedName name="_xlnm.Print_Area" localSheetId="21">'8,5'!$A$1:$E$41</definedName>
    <definedName name="_xlnm.Print_Area" localSheetId="20">'9 LIBRO'!$A$1:$E$41</definedName>
    <definedName name="_xlnm.Print_Area" localSheetId="19">'9,5'!$A$1:$E$41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 i="19" l="1"/>
  <c r="P2" i="19"/>
  <c r="O2" i="19"/>
  <c r="P1" i="19"/>
  <c r="H2" i="18"/>
  <c r="G2" i="18"/>
  <c r="H1" i="18"/>
  <c r="G1" i="18"/>
</calcChain>
</file>

<file path=xl/sharedStrings.xml><?xml version="1.0" encoding="utf-8"?>
<sst xmlns="http://schemas.openxmlformats.org/spreadsheetml/2006/main" count="1674" uniqueCount="452">
  <si>
    <t>0,98-1</t>
  </si>
  <si>
    <t>Caja 15</t>
  </si>
  <si>
    <t>Área 15</t>
  </si>
  <si>
    <t>Reynolds</t>
  </si>
  <si>
    <t>Bloque</t>
  </si>
  <si>
    <t>C 16</t>
  </si>
  <si>
    <t>C 17</t>
  </si>
  <si>
    <t>C 18</t>
  </si>
  <si>
    <t>C 19</t>
  </si>
  <si>
    <t>C 20</t>
  </si>
  <si>
    <t>C 21</t>
  </si>
  <si>
    <t>C 22</t>
  </si>
  <si>
    <t>C 23</t>
  </si>
  <si>
    <t>C 24</t>
  </si>
  <si>
    <t>C 25</t>
  </si>
  <si>
    <t>Luz</t>
  </si>
  <si>
    <t>Mediciones Nominales</t>
  </si>
  <si>
    <t>Área</t>
  </si>
  <si>
    <t>Referencia de Tiro</t>
  </si>
  <si>
    <t>Compensación de cabeza</t>
  </si>
  <si>
    <t>RSM</t>
  </si>
  <si>
    <t>C 26</t>
  </si>
  <si>
    <t>C 27</t>
  </si>
  <si>
    <t>C 28</t>
  </si>
  <si>
    <t>C 29</t>
  </si>
  <si>
    <t>OBSERVACIONES</t>
  </si>
  <si>
    <t>Diámetro 10</t>
  </si>
  <si>
    <t>350 +/- 5</t>
  </si>
  <si>
    <t>Diámetro medidio</t>
  </si>
  <si>
    <t>Zumbach Bloque</t>
  </si>
  <si>
    <t>Ajuste de parámetros</t>
  </si>
  <si>
    <t>Diámetro 6</t>
  </si>
  <si>
    <t>0,985-0,995</t>
  </si>
  <si>
    <t>El tiro esta muy flojo en la conduccion</t>
  </si>
  <si>
    <t>Diámetro 6,5</t>
  </si>
  <si>
    <t>22 X 20 +/- 0,3</t>
  </si>
  <si>
    <t>0,945-0-960</t>
  </si>
  <si>
    <t>9x8,60±01</t>
  </si>
  <si>
    <t xml:space="preserve">En algunas laminaciones mantela la cabeza uno o dos segundos </t>
  </si>
  <si>
    <t>despues de tomarla el RSM. SE ato caja lios bloque</t>
  </si>
  <si>
    <t>Diámetro 7</t>
  </si>
  <si>
    <t>22x19,5</t>
  </si>
  <si>
    <t xml:space="preserve">Sale con muy poco hierro mas en Reynols que para 5,5 </t>
  </si>
  <si>
    <t>1,3 -0,05</t>
  </si>
  <si>
    <t>8,9x8,3 ±0,1</t>
  </si>
  <si>
    <t>60,5 - 61,5 mm</t>
  </si>
  <si>
    <t>0,970 -  0,980</t>
  </si>
  <si>
    <t>Diámetro 7,5</t>
  </si>
  <si>
    <t>0,960-0,975</t>
  </si>
  <si>
    <t>Mantela facilmente entre bloque y RSM. En alguna laminacion</t>
  </si>
  <si>
    <t>hubo que atar caja lios de bloque</t>
  </si>
  <si>
    <t>los del bloques</t>
  </si>
  <si>
    <t>Caso necesario subir compensacion de cabeza</t>
  </si>
  <si>
    <t>Diámetro 8</t>
  </si>
  <si>
    <t>22x19,8</t>
  </si>
  <si>
    <t>Perfil que vibra, no apretar 28 - 29</t>
  </si>
  <si>
    <t>Diámetro 9</t>
  </si>
  <si>
    <t>Diámetro 8,5</t>
  </si>
  <si>
    <t>21,8x19±0,3</t>
  </si>
  <si>
    <t>345 +/- 5</t>
  </si>
  <si>
    <t>0,965-0,975</t>
  </si>
  <si>
    <t>Perfil que vibra no apretar mucho 28 -29</t>
  </si>
  <si>
    <t>11,25x10,8</t>
  </si>
  <si>
    <t>0,965 -0,980</t>
  </si>
  <si>
    <t>1,35-1,40</t>
  </si>
  <si>
    <t>Perfil que vibra no apretar  28 -29</t>
  </si>
  <si>
    <t>Problemas de NL intermitente</t>
  </si>
  <si>
    <t>Roturas de rodillos en guia de C27</t>
  </si>
  <si>
    <t>Vigilar la Zumbach y atender sus alarmas</t>
  </si>
  <si>
    <t>La guia de C27 abre facilmente</t>
  </si>
  <si>
    <t>Procurar no pasar area bloque indicada puede vibrar</t>
  </si>
  <si>
    <t>Diámetro 9,5</t>
  </si>
  <si>
    <t>0,985-0,990</t>
  </si>
  <si>
    <t>Perfil que necesita hierro</t>
  </si>
  <si>
    <t>Tiro muy justo</t>
  </si>
  <si>
    <t>Tiro alto, puede mantelar</t>
  </si>
  <si>
    <t>355±5</t>
  </si>
  <si>
    <t>22X20±0,3</t>
  </si>
  <si>
    <t>11,4X10,8</t>
  </si>
  <si>
    <t>101-101,5</t>
  </si>
  <si>
    <t>14,3x13,3±0,1</t>
  </si>
  <si>
    <t>Si se aprieta 28 -29 puede vibrar.</t>
  </si>
  <si>
    <t>Diámetro 10,5</t>
  </si>
  <si>
    <t>347±5</t>
  </si>
  <si>
    <t>156-157</t>
  </si>
  <si>
    <t>14,2x13,5±0,1</t>
  </si>
  <si>
    <t>Diámetro 11</t>
  </si>
  <si>
    <t>1,45-150</t>
  </si>
  <si>
    <t>en salida del Bloque</t>
  </si>
  <si>
    <t>Diámetro 11,5</t>
  </si>
  <si>
    <t>21,5x19,5</t>
  </si>
  <si>
    <t>345±5</t>
  </si>
  <si>
    <t>0,975-0,985</t>
  </si>
  <si>
    <t>Diámetro 13</t>
  </si>
  <si>
    <t>Diámetro 14</t>
  </si>
  <si>
    <t>355-360</t>
  </si>
  <si>
    <t>Dar la luz pasando 10 mm el cobre por los rodillos</t>
  </si>
  <si>
    <t>Diámetro 15</t>
  </si>
  <si>
    <t>Lazo del bloque bajo para evitar que mantele en T15</t>
  </si>
  <si>
    <t>al llegar cabeza a RSM</t>
  </si>
  <si>
    <t>Diámetro 16</t>
  </si>
  <si>
    <t>22x20±0,3</t>
  </si>
  <si>
    <t xml:space="preserve">El lazo del bloque debe estar bajo para evitar rebote </t>
  </si>
  <si>
    <t>de cabezas  y que mantele en T15 al tomar RSM</t>
  </si>
  <si>
    <t>1,25-1,30</t>
  </si>
  <si>
    <t>22,3x20,2±0,4</t>
  </si>
  <si>
    <t>39-41,5</t>
  </si>
  <si>
    <t>7,25x6,8</t>
  </si>
  <si>
    <t>360±5</t>
  </si>
  <si>
    <t>21,4x19±0,4</t>
  </si>
  <si>
    <t>21,8 X 19,5 +/- 0,5</t>
  </si>
  <si>
    <t>Lazos flojos</t>
  </si>
  <si>
    <t>Kamax salio bien con 17,5 x 16,6 de bloque</t>
  </si>
  <si>
    <t>1.265-1.270</t>
  </si>
  <si>
    <t>Factor R RSM referencia</t>
  </si>
  <si>
    <t>21,5X19,5</t>
  </si>
  <si>
    <t>335±5</t>
  </si>
  <si>
    <t>235±2</t>
  </si>
  <si>
    <t>Diámetro 12,5</t>
  </si>
  <si>
    <t>Kamax salio bien con 17,5 x 16,5 de bloque</t>
  </si>
  <si>
    <t>C12 20.5 C14 15,8</t>
  </si>
  <si>
    <t>330-340</t>
  </si>
  <si>
    <t>Kamax: 18mt -despunte T15 - despunte T7</t>
  </si>
  <si>
    <t>Medidas Reynols como 5,5: C12 20,3 - C14 18,8</t>
  </si>
  <si>
    <t>22 x 19,5</t>
  </si>
  <si>
    <t>355±4</t>
  </si>
  <si>
    <t>17,35x16,7±0,1</t>
  </si>
  <si>
    <t>0,96 -0,975</t>
  </si>
  <si>
    <t xml:space="preserve">Dar hierro hasta consegir al menos 13,50 de minima </t>
  </si>
  <si>
    <t>158-161</t>
  </si>
  <si>
    <t>Con estas medidas Kamax sale bien con despunte</t>
  </si>
  <si>
    <t>cabeza tijera 7</t>
  </si>
  <si>
    <t>14,30X13,7</t>
  </si>
  <si>
    <t>Ojo a medida bloque mas baja en altura caja19</t>
  </si>
  <si>
    <t>desbordes caja 27</t>
  </si>
  <si>
    <t>21,7 x 19,5±0,3</t>
  </si>
  <si>
    <t>Aprox 340</t>
  </si>
  <si>
    <t>340-345±5</t>
  </si>
  <si>
    <t>21,8X19 ±0,3</t>
  </si>
  <si>
    <t>Se lamina sin agua en cabeza en bloque</t>
  </si>
  <si>
    <t>Guias salida 26 bien aproximacas</t>
  </si>
  <si>
    <t xml:space="preserve">Alimentar con la  seccion de 5,5 en reynols </t>
  </si>
  <si>
    <t>Se lamina sin agua en cabeza en bloque impacto en 26</t>
  </si>
  <si>
    <t>Diámetro 12</t>
  </si>
  <si>
    <t>Luz alternativa</t>
  </si>
  <si>
    <t>Luz contra vibrado</t>
  </si>
  <si>
    <t>22X20</t>
  </si>
  <si>
    <t>hay que cerrarla si hace falta</t>
  </si>
  <si>
    <t>0,99-1.000</t>
  </si>
  <si>
    <t>Tiro alto, puede mantelar por debajo de lo indicado</t>
  </si>
  <si>
    <t>21,6x19,5±0,5</t>
  </si>
  <si>
    <t>96-98</t>
  </si>
  <si>
    <t>11,2x10,3±0,1</t>
  </si>
  <si>
    <t>Maximo 154 mm</t>
  </si>
  <si>
    <t xml:space="preserve">No buscar ovalidades bajas, (0,10-0,15) </t>
  </si>
  <si>
    <t>No se consiguen con poco area de entrada.</t>
  </si>
  <si>
    <t xml:space="preserve">Si nos permiten laminar con 0,30 porque no sea de </t>
  </si>
  <si>
    <t>tolerancia restringida, mejor que sacarlo vibrado</t>
  </si>
  <si>
    <t>21,9x19±0,2</t>
  </si>
  <si>
    <t>232-234</t>
  </si>
  <si>
    <t>17,4X16,3</t>
  </si>
  <si>
    <t>0,980-0,990</t>
  </si>
  <si>
    <t>21,8X19,8±0,3</t>
  </si>
  <si>
    <t>233±2</t>
  </si>
  <si>
    <t>0,970 - 0,980</t>
  </si>
  <si>
    <t>6,85 x 6,6</t>
  </si>
  <si>
    <t>Lazos de Reynols de programa y comprobar que estan flojos</t>
  </si>
  <si>
    <t>340 +/- 5</t>
  </si>
  <si>
    <t>aprox 330</t>
  </si>
  <si>
    <t>17,2x16,5±0,1</t>
  </si>
  <si>
    <t>PUEDE DAR PLIEGUE!</t>
  </si>
  <si>
    <t xml:space="preserve">¡NO PASAR DEL AREA INDICADA  SALIDA BLOQUE </t>
  </si>
  <si>
    <t>Diámetro 17</t>
  </si>
  <si>
    <t>Diámetro 19</t>
  </si>
  <si>
    <t>Diámetro 22</t>
  </si>
  <si>
    <t>CAJA 11</t>
  </si>
  <si>
    <t>Caja 11</t>
  </si>
  <si>
    <t>Condiciones de prueba</t>
  </si>
  <si>
    <t>velocidad aproximada 7 m</t>
  </si>
  <si>
    <t>cerrar agua a Reynols cajas y formalazos</t>
  </si>
  <si>
    <t>despunte de tijera 15 minimo a 1,2 en ajuste (1 en programa)</t>
  </si>
  <si>
    <t>bajar agua a bloque a 2,5</t>
  </si>
  <si>
    <t>cajas de agua bloqueadas y a la canal (CA1-2-3)</t>
  </si>
  <si>
    <t>presion de pinzado a 5 bares</t>
  </si>
  <si>
    <t>atencion a dar bien luz maxima y minima en tractor</t>
  </si>
  <si>
    <t>tractor con 50 de par y sobrevelocidad a 1,15 y pinzado continuo</t>
  </si>
  <si>
    <t>mesa tramo 10 atrás</t>
  </si>
  <si>
    <t>T15 SOBREVELOCIDAD 1,200</t>
  </si>
  <si>
    <t>LONGITUD 0,9</t>
  </si>
  <si>
    <t>RT 1,12 SOBREVELOCIDAD PAR 20</t>
  </si>
  <si>
    <t>FE 0,988</t>
  </si>
  <si>
    <t>SIN AGUA CAJAS 1-2 3</t>
  </si>
  <si>
    <t>Caja 13</t>
  </si>
  <si>
    <t>Área 13</t>
  </si>
  <si>
    <t>25X23</t>
  </si>
  <si>
    <t>levantar rodillos formalazos verticales los superiores de entrada salida</t>
  </si>
  <si>
    <t>Rompio un rodillo guia en GE27</t>
  </si>
  <si>
    <t>No se alcanza la temperatura de tendido por  el agua contracorriente CA2 Y CA3</t>
  </si>
  <si>
    <t>El recalque salio al final del perfil mal por cabeza y cola</t>
  </si>
  <si>
    <t>Par RT a 35</t>
  </si>
  <si>
    <t>Pinzado continuo</t>
  </si>
  <si>
    <t>Sobrevelocidad tijera 15 a 1.200</t>
  </si>
  <si>
    <t>31,5X30,5</t>
  </si>
  <si>
    <t>asegurar la medida sin nervio en C11 antes de probar</t>
  </si>
  <si>
    <t>Velocidad aproximada 7 m</t>
  </si>
  <si>
    <t>Asegurar la medida sin nervio en C11 antes de probar</t>
  </si>
  <si>
    <t>Cerrar agua a Reynols cajas y formalazos</t>
  </si>
  <si>
    <t>Levantar rodillos formalazos verticales los superiores de entrada salida</t>
  </si>
  <si>
    <t>Despunte de tijera 15 minimo a 1,2 en ajuste (1 en programa)</t>
  </si>
  <si>
    <t>Bajar agua a bloque a 2,5</t>
  </si>
  <si>
    <t>Cajas de agua bloqueadas y a la canal (CA1-2-3)</t>
  </si>
  <si>
    <t>Presion de pinzado a 5 bares</t>
  </si>
  <si>
    <t>Atencion a dar bien luz maxima y minima en tractor</t>
  </si>
  <si>
    <t>Tractor con 50 de par y sobrevelocidad a 1,15 y pinzado continuo</t>
  </si>
  <si>
    <t>Mesa tramo 10 atrás</t>
  </si>
  <si>
    <t>Laminacion del 4-10/2008 1,4-1,3-1,50-1,38</t>
  </si>
  <si>
    <t>ultimas luces tomadas incidente 19 rollos FM</t>
  </si>
  <si>
    <t>21,7x19,8</t>
  </si>
  <si>
    <t>21,6x19</t>
  </si>
  <si>
    <t>159-162</t>
  </si>
  <si>
    <t>No hay datos de laminaciones anteriores</t>
  </si>
  <si>
    <t>1,45</t>
  </si>
  <si>
    <t>Diámetro 13,5</t>
  </si>
  <si>
    <t>Diámetro 18</t>
  </si>
  <si>
    <t>luces hasta abril de 2008</t>
  </si>
  <si>
    <t>hasta 16/4/2009</t>
  </si>
  <si>
    <t>21,6x19,0±0,5</t>
  </si>
  <si>
    <t>Maximo 156,5 mm</t>
  </si>
  <si>
    <t>0,98-0,99</t>
  </si>
  <si>
    <t>se cambian por vibrado</t>
  </si>
  <si>
    <t>21,8x19,5</t>
  </si>
  <si>
    <t>9x8,6±0,1</t>
  </si>
  <si>
    <t>V1</t>
  </si>
  <si>
    <t>V2</t>
  </si>
  <si>
    <t>DIA 15/5/2009</t>
  </si>
  <si>
    <t>MEJOR</t>
  </si>
  <si>
    <t>PEOR</t>
  </si>
  <si>
    <t>20/05/2009 BC</t>
  </si>
  <si>
    <t>61,5-63</t>
  </si>
  <si>
    <t>L1</t>
  </si>
  <si>
    <t>L2</t>
  </si>
  <si>
    <t>20/05/2009 AC</t>
  </si>
  <si>
    <t>8,9X8,5</t>
  </si>
  <si>
    <t>11,1X10,65</t>
  </si>
  <si>
    <t>9,4x8,5</t>
  </si>
  <si>
    <t>ARANCON</t>
  </si>
  <si>
    <t>El hierro vibra  y se baja la alimentacion al RSM a 95-96 mm</t>
  </si>
  <si>
    <t>Sigue manteniendo buena ovalidad con 0,98 de tiro</t>
  </si>
  <si>
    <t>Posiblemente 29 apretada ya que diametro final 9,00x8,80</t>
  </si>
  <si>
    <t>36,8 - 37,5 mm</t>
  </si>
  <si>
    <t>21,4x19</t>
  </si>
  <si>
    <t>11,2x10</t>
  </si>
  <si>
    <t xml:space="preserve">8,06x7,92    ova  0,16 </t>
  </si>
  <si>
    <t>8x7,9   ova  0,09</t>
  </si>
  <si>
    <t xml:space="preserve">medido con estampacion
de boro el dia de
SE DIERON LAS LUCES NOMINALES Y APARECIO ESTO
SIN VIBRAR </t>
  </si>
  <si>
    <t>vena 1 con 0,2 ovalidad</t>
  </si>
  <si>
    <t>original</t>
  </si>
  <si>
    <t>luces 30/12/2010</t>
  </si>
  <si>
    <t>ovalidad</t>
  </si>
  <si>
    <t>luces</t>
  </si>
  <si>
    <t>*en las medidas reales tomadas en control</t>
  </si>
  <si>
    <t>mejor linea 2 que linea 1</t>
  </si>
  <si>
    <t>*no vibro</t>
  </si>
  <si>
    <t>area</t>
  </si>
  <si>
    <t>tiro</t>
  </si>
  <si>
    <t>*modifico las actuales nuevas (-5 en 29)</t>
  </si>
  <si>
    <t>anterior 1,30</t>
  </si>
  <si>
    <t>Medidas alternativas</t>
  </si>
  <si>
    <t>0,970-0,980</t>
  </si>
  <si>
    <t>97-98,5</t>
  </si>
  <si>
    <t>Ajustar bien el tiro, no pasarse de 98,5 de area Bloque</t>
  </si>
  <si>
    <t>Diámetro medio</t>
  </si>
  <si>
    <t>11,25x10,5±0,1</t>
  </si>
  <si>
    <t>21,5x19</t>
  </si>
  <si>
    <t>325+-5</t>
  </si>
  <si>
    <t>No pasarse del area indicada salida bloque, da pliegue</t>
  </si>
  <si>
    <t>Sale casi con mismo hierro 5,5</t>
  </si>
  <si>
    <t>OVALIDAD 0,18-0,20 CON LAS MEDIDAS INDICADAS</t>
  </si>
  <si>
    <t>154-157</t>
  </si>
  <si>
    <t>14,4x12,8</t>
  </si>
  <si>
    <t>345-355</t>
  </si>
  <si>
    <t>347-355</t>
  </si>
  <si>
    <t>510-520</t>
  </si>
  <si>
    <t>780-790</t>
  </si>
  <si>
    <t>0,980</t>
  </si>
  <si>
    <t>0,985</t>
  </si>
  <si>
    <t>1,55</t>
  </si>
  <si>
    <t>1,46</t>
  </si>
  <si>
    <t>1,48</t>
  </si>
  <si>
    <t>1,36</t>
  </si>
  <si>
    <t>1,54</t>
  </si>
  <si>
    <t>1,40</t>
  </si>
  <si>
    <t>62,5-63,5</t>
  </si>
  <si>
    <t>22 x 19</t>
  </si>
  <si>
    <t>0,980-0,90</t>
  </si>
  <si>
    <t>17,45X16,4</t>
  </si>
  <si>
    <t>235-238</t>
  </si>
  <si>
    <t>Se usa guia R25 (intermedia)</t>
  </si>
  <si>
    <t>Se lamina con poco agua tren continuo</t>
  </si>
  <si>
    <t>Desconectar manguera guia salida 17</t>
  </si>
  <si>
    <t>Se desconecta Caja Agua 1 en puesto H en enfriamientos</t>
  </si>
  <si>
    <t>SUBI A 1,7 LA 26 POR NO DAR LA MEDIDA DE OVALIDAD PARA KAMAX ENERO 2013</t>
  </si>
  <si>
    <t>0,955-0,970</t>
  </si>
  <si>
    <t>desconexion guia salida caja 17</t>
  </si>
  <si>
    <t>afloja lazos Reynols para evitar tiros no registrados</t>
  </si>
  <si>
    <t>esto con pretensados.</t>
  </si>
  <si>
    <t>KAMAX</t>
  </si>
  <si>
    <t>Se aflojan lazos de 130 105 140 350</t>
  </si>
  <si>
    <t>en la laminacion de 11 de abril 2013 en la que estuve se hizo eso y salio perfecto</t>
  </si>
  <si>
    <t>se pasa de 1,22 a 1,18 el 11/4/2013</t>
  </si>
  <si>
    <t xml:space="preserve">Se cambian de 1,26 a 1,24 11/4/2013 para mejorar </t>
  </si>
  <si>
    <t>Diámetro 7,5 historico</t>
  </si>
  <si>
    <t>Diámetro 8 historico</t>
  </si>
  <si>
    <t>97-98</t>
  </si>
  <si>
    <t xml:space="preserve">SALIO MAL LA ULTIMA VEZ POR VENA 1 CON ESTAS LUCES </t>
  </si>
  <si>
    <t>EN VENA 2 MEJOR CON ESTAS POSIBLE HABERLAS DADO CON EL COBRE ENTERO SOBRE EL MACHO</t>
  </si>
  <si>
    <t>PERFIL NUEVO</t>
  </si>
  <si>
    <t>Diámetro 20</t>
  </si>
  <si>
    <t>Diámetro 21</t>
  </si>
  <si>
    <t>Diámetro 23</t>
  </si>
  <si>
    <t>Caja 11 altura 33,5</t>
  </si>
  <si>
    <t>Luz Alternativa</t>
  </si>
  <si>
    <t>26,7 x 25,4</t>
  </si>
  <si>
    <t>25,8 X 24,2</t>
  </si>
  <si>
    <t>CALIBRACION ACABADORA C27</t>
  </si>
  <si>
    <t>CALIBRACION ACABADORA C29</t>
  </si>
  <si>
    <t>21,7 x 18,6</t>
  </si>
  <si>
    <t>22 x 20</t>
  </si>
  <si>
    <t>347 - 355</t>
  </si>
  <si>
    <t>340 - 345</t>
  </si>
  <si>
    <t>20 x 20,5</t>
  </si>
  <si>
    <t>320 - 330</t>
  </si>
  <si>
    <t>23 x 19,2</t>
  </si>
  <si>
    <t>345 - 350</t>
  </si>
  <si>
    <t>MOTOMIG</t>
  </si>
  <si>
    <t>VELOCIDAD TRAMO 10: 0,26</t>
  </si>
  <si>
    <t>SIN ALETA</t>
  </si>
  <si>
    <t>PARAMETROS FB:</t>
  </si>
  <si>
    <t>Diámetro 5,5</t>
  </si>
  <si>
    <t>IRIS 1: 15s</t>
  </si>
  <si>
    <t>IRIS 2: 15s</t>
  </si>
  <si>
    <t>ELEVADOR: 20s</t>
  </si>
  <si>
    <t>LENTA: 3s</t>
  </si>
  <si>
    <t>COLA: 20s</t>
  </si>
  <si>
    <t>OBSERVACIONES MOTOMIG</t>
  </si>
  <si>
    <t>520 - 530</t>
  </si>
  <si>
    <t>610 - 620</t>
  </si>
  <si>
    <t>Luz caja 14</t>
  </si>
  <si>
    <t>Luz caja 15</t>
  </si>
  <si>
    <t>Area Caja 15</t>
  </si>
  <si>
    <t>Temperatura salida horno 1240º</t>
  </si>
  <si>
    <t>Volantes inercia Tijera 15 activados</t>
  </si>
  <si>
    <t>Bajar agua a bloque a 2,5 bar</t>
  </si>
  <si>
    <t>620 - 630</t>
  </si>
  <si>
    <t>Medidas Caja 15</t>
  </si>
  <si>
    <t>27,3 x 28,3</t>
  </si>
  <si>
    <t>-</t>
  </si>
  <si>
    <t>26 X 24,5</t>
  </si>
  <si>
    <t>24,6 X 25,8</t>
  </si>
  <si>
    <t>475 - 485</t>
  </si>
  <si>
    <t>Luz caja 12</t>
  </si>
  <si>
    <t>Luz caja 13</t>
  </si>
  <si>
    <t>Medidas Caja 13</t>
  </si>
  <si>
    <t>Area Caja 13</t>
  </si>
  <si>
    <t>GS13 en posicón salida 15</t>
  </si>
  <si>
    <t>GE15 con rodillos especiales SIN MONTAR RODILLO SUPERIOR</t>
  </si>
  <si>
    <t>REYNOLDS</t>
  </si>
  <si>
    <t>FREE-CUTTING</t>
  </si>
  <si>
    <t>RSM Ø14</t>
  </si>
  <si>
    <t>C12</t>
  </si>
  <si>
    <t>C13</t>
  </si>
  <si>
    <t>C14</t>
  </si>
  <si>
    <t>C15</t>
  </si>
  <si>
    <t>MEDIDAS REYNOLDS</t>
  </si>
  <si>
    <t>23 x 20,3</t>
  </si>
  <si>
    <t>BLOQUE</t>
  </si>
  <si>
    <t>Rcorr</t>
  </si>
  <si>
    <t>AREA BLOQUE</t>
  </si>
  <si>
    <t>Area RSM</t>
  </si>
  <si>
    <t>173,8 - 174</t>
  </si>
  <si>
    <t>---</t>
  </si>
  <si>
    <t>Plomo</t>
  </si>
  <si>
    <t>Rcorr=0,990</t>
  </si>
  <si>
    <t>Arsm=133</t>
  </si>
  <si>
    <t>CALIBRACION ACABADORA C27 (RODILLOS Ø13)</t>
  </si>
  <si>
    <t>22,7 x 20,3</t>
  </si>
  <si>
    <t>340 - 350 (*)</t>
  </si>
  <si>
    <t>A Verificar</t>
  </si>
  <si>
    <t>0,99 - 0,98</t>
  </si>
  <si>
    <t>240 - 245</t>
  </si>
  <si>
    <t>149 - 150</t>
  </si>
  <si>
    <t>RSM Ø13</t>
  </si>
  <si>
    <t>CALIBRACION ACABADORA C27 (RODILLOS Ø14)</t>
  </si>
  <si>
    <t>Plomo Rodillos (Ø12)</t>
  </si>
  <si>
    <t>340 - 350</t>
  </si>
  <si>
    <t>LAMINACIÓN 13 POR CAJA 27 CON RODILLOS DE 12</t>
  </si>
  <si>
    <t>En el Bloque abrir dos caras a 16-17</t>
  </si>
  <si>
    <t>CALIBRACION ACABADORA C27  v=13,4 m/s</t>
  </si>
  <si>
    <t>ÓVALO CAJA 8 = 34</t>
  </si>
  <si>
    <t>ÓVALO CAJA 10 = 26</t>
  </si>
  <si>
    <t>ÁREA CAJA 13 = 530</t>
  </si>
  <si>
    <t>OBSERVACIONES PARA LAMINAR POR CAJA 27</t>
  </si>
  <si>
    <t>ÓVALO CAJA 8 = 33</t>
  </si>
  <si>
    <t>ÓVALO CAJA 10 = 25</t>
  </si>
  <si>
    <t>ÁREA CAJA 15 = 330</t>
  </si>
  <si>
    <t>ÓVALO CAJA 12 = 21</t>
  </si>
  <si>
    <t>REDONDO 15 = 21</t>
  </si>
  <si>
    <t>OBSERVACIONES PARA LAMINAR POR CAJA 29</t>
  </si>
  <si>
    <t>ÓVALO 12 = 22</t>
  </si>
  <si>
    <t>REDONDO 13 = 25,2</t>
  </si>
  <si>
    <t>Sobrevelocidad RT 0,98
Sobrevelocidad cola --1
Par 35
Sobrevelocidad FE -- 0,998
Diámetro int.- 1000
Diámetro ext --1170
Tiempo aumentar/disminuir  3"</t>
  </si>
  <si>
    <t>CAJA DE AGUA 1--CERRADA</t>
  </si>
  <si>
    <t>CAJA DE AGUA 1 CERRADA</t>
  </si>
  <si>
    <t>Sobrevelocidad RT --1
Sobrevelocidad cola RT --1
Par 35
FE
Diámetro int. -- 1000
Diámetro ext -- 1170
Tiempo aumentar/disminuir --3"
Iris 1-2 = 10"---mesa 10=</t>
  </si>
  <si>
    <t>Sobrevelocidad RT --1</t>
  </si>
  <si>
    <t>Sobrevelocidad cola RT --1</t>
  </si>
  <si>
    <t>Par 35</t>
  </si>
  <si>
    <t>FE</t>
  </si>
  <si>
    <t>Diámetro int. -- 1000</t>
  </si>
  <si>
    <t>Tiempo aumentar/disminuir --3"</t>
  </si>
  <si>
    <t>REDONDO 13 = 26x25</t>
  </si>
  <si>
    <t xml:space="preserve">ÓVALO CAJA 12 = 21,5 </t>
  </si>
  <si>
    <t>ÓVALO CAJA 12 = 21,5</t>
  </si>
  <si>
    <t>ÓVALO CAJA 12 = 20,5</t>
  </si>
  <si>
    <t>REDONDO 13 = 24,5</t>
  </si>
  <si>
    <t>ÁREA CAJA 13 = 480</t>
  </si>
  <si>
    <t>ÓVALO CAJA 10 = 25,5</t>
  </si>
  <si>
    <t>Diámetro ext -- 1190</t>
  </si>
  <si>
    <t>13,5</t>
  </si>
  <si>
    <t>12,5</t>
  </si>
  <si>
    <t>11,5</t>
  </si>
  <si>
    <t>11 (2)</t>
  </si>
  <si>
    <t>10,5</t>
  </si>
  <si>
    <t>9,5</t>
  </si>
  <si>
    <t>9 LIBRO</t>
  </si>
  <si>
    <t>8,5</t>
  </si>
  <si>
    <t>8 LIBRO</t>
  </si>
  <si>
    <t>7,5</t>
  </si>
  <si>
    <t>7,5 LIBRO</t>
  </si>
  <si>
    <t>6,5</t>
  </si>
  <si>
    <t>5,5 LIBRO</t>
  </si>
  <si>
    <t>Diámetro</t>
  </si>
  <si>
    <t>C16</t>
  </si>
  <si>
    <t>C17</t>
  </si>
  <si>
    <t>C26</t>
  </si>
  <si>
    <t>C27</t>
  </si>
  <si>
    <t>C28</t>
  </si>
  <si>
    <t>C29</t>
  </si>
  <si>
    <t>Config.</t>
  </si>
  <si>
    <t>Std</t>
  </si>
  <si>
    <t>parametros_laminacion = {
    5.5:  {"C26": 1.3, "C27": 1.25, "C28": 1.2, "C29": 1.1},
    6.0:  {"C26": 1.65, "C27": 1.25, "C28": 1.4, "C29": 1.2},
    6.5:  {"C26": 1.5, "C27": 1.33, "C28": 1.43, "C29": 1.25},
    7.0:  {"C26": 1.4, "C27": 1.35, "C28": 1.4, "C29": 1.3},
    7.5:  {"C26": 1.45, "C27": 1.4, "C28": 1.5, "C29": 1.26},
    8.0:  {"C26": 1.5, "C27": 1.4, "C28": 1.45, "C29": 1.2},
    8.5:  {"C26": 1.5, "C27": 1.35, "C28": 1.45, "C29": 1.25},
    9.0:  {"C26": 1.35, "C27": 1.25, "C28": 1.45, "C29": 1.4},
    9.5:  {"C26": 1.6, "C27": 1.3, "C28": 1.4, "C29": 1.35},
    10.0: {"C26": 1.4, "C27": 1.35, "C28": 1.6, "C29": 1.5},
    10.5: {"C26": 1.5, "C27": 1.4, "C28": 1.6, "C29": 1.5},
    11.0: {"C26": 1.6, "C27": 1.45, "C28": 1.5, "C29": 1.45},
    11.5: {"C26": 1.55, "C27": 1.35, "C28": 1.45, "C29": 1.35},
    12.0: {"C26": 1.5, "C27": 1.4, "C28": 1.5, "C29": 1.4},
    12.5: {"C26": 1.45, "C27": 1.4, "C28": 1.45, "C29": 1.4},
    13.0: {"Std": {"C26": 1.5, "C27": 1.45, "C28": 1.45, "C29": 1.35}, 
              "C27": {"C26": 1.75, "C27": 1.15}},
    13.5: {"C26": 1.45, "C27": 1.45, "C28": 1.45, "C29": 1.45},
    14.0: {"Std": {"C26": 1.8, "C27": 1.4, "C28": 1.45, "C29": 1.35}, 
              "C27": {"C26": 1.7, "C27": 1.25}},
    15.0: {"Std": {"C26": 1.5, "C27": 1.45, "C28": 1.5, "C29": 1.35}, 
              "C27": {"C26": 1.8, "C27": 1.65}},
    16.0: {"C26": 1.5, "C27": 1.4, "C28": 1.45, "C29": 1.4},
    17.0: {"C26": 2.0, "C27": 1.0, "C28": 1.0, "C29": 1.0},
    18.0: {"C26": 1.5, "C27": 1.4, "C28": 1.4, "C29": 1.3},
    19.0: {"C26": 1.45, "C27": 1.35, "C28": 1.4, "C29": 1.3},
    20.0: {"C26": 1.45, "C27": 1.35, "C28": 1.4, "C29": 1.35},
    21.0: {"C26": 1.4, "C27": 1.35, "C28": 1.35, "C29": 1.3},
    22.0: {"C26": 1.55, "C27": 1.3, "C28": 1.4, "C29": 1.3},
    23.0: {"C26": 1.65, "C27": 1.1}
}</t>
  </si>
  <si>
    <t>monta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</si>
</sst>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5" x14ac:knownFonts="1">
    <font>
      <sz val="10"/>
      <name val="Arial"/>
    </font>
    <font>
      <sz val="16"/>
      <name val="Tahoma"/>
      <family val="2"/>
    </font>
    <font>
      <b/>
      <i/>
      <sz val="16"/>
      <name val="Tahoma"/>
      <family val="2"/>
    </font>
    <font>
      <i/>
      <sz val="16"/>
      <name val="Tahoma"/>
      <family val="2"/>
    </font>
    <font>
      <b/>
      <sz val="16"/>
      <name val="Tahoma"/>
      <family val="2"/>
    </font>
    <font>
      <sz val="16"/>
      <name val="Arial"/>
      <family val="2"/>
    </font>
    <font>
      <b/>
      <i/>
      <sz val="16"/>
      <name val="Arial"/>
      <family val="2"/>
    </font>
    <font>
      <b/>
      <i/>
      <sz val="22"/>
      <name val="Tahoma"/>
      <family val="2"/>
    </font>
    <font>
      <b/>
      <sz val="18"/>
      <name val="Arial"/>
      <family val="2"/>
    </font>
    <font>
      <b/>
      <sz val="20"/>
      <name val="Arial"/>
      <family val="2"/>
    </font>
    <font>
      <b/>
      <sz val="10"/>
      <name val="Arial"/>
      <family val="2"/>
    </font>
    <font>
      <b/>
      <sz val="10"/>
      <name val="Tahoma"/>
      <family val="2"/>
    </font>
    <font>
      <b/>
      <sz val="16"/>
      <name val="Arial"/>
      <family val="2"/>
    </font>
    <font>
      <b/>
      <sz val="14"/>
      <name val="Arial"/>
      <family val="2"/>
    </font>
    <font>
      <b/>
      <sz val="14"/>
      <name val="Tahoma"/>
      <family val="2"/>
    </font>
    <font>
      <b/>
      <sz val="12"/>
      <name val="Arial"/>
      <family val="2"/>
    </font>
    <font>
      <b/>
      <sz val="18"/>
      <name val="Tahoma"/>
      <family val="2"/>
    </font>
    <font>
      <sz val="8"/>
      <name val="Arial"/>
      <family val="2"/>
    </font>
    <font>
      <sz val="16"/>
      <color indexed="10"/>
      <name val="Tahoma"/>
      <family val="2"/>
    </font>
    <font>
      <sz val="12"/>
      <name val="Arial"/>
      <family val="2"/>
    </font>
    <font>
      <b/>
      <sz val="16"/>
      <color indexed="10"/>
      <name val="Tahoma"/>
      <family val="2"/>
    </font>
    <font>
      <sz val="12"/>
      <name val="Tahoma"/>
      <family val="2"/>
    </font>
    <font>
      <b/>
      <i/>
      <sz val="20"/>
      <name val="Tahoma"/>
      <family val="2"/>
    </font>
    <font>
      <sz val="18"/>
      <name val="Arial"/>
      <family val="2"/>
    </font>
    <font>
      <sz val="10"/>
      <name val="Arial"/>
      <family val="2"/>
    </font>
  </fonts>
  <fills count="8">
    <fill>
      <patternFill patternType="none"/>
    </fill>
    <fill>
      <patternFill patternType="gray125"/>
    </fill>
    <fill>
      <patternFill patternType="solid">
        <fgColor indexed="13"/>
        <bgColor indexed="64"/>
      </patternFill>
    </fill>
    <fill>
      <patternFill patternType="solid">
        <fgColor indexed="22"/>
        <bgColor indexed="64"/>
      </patternFill>
    </fill>
    <fill>
      <patternFill patternType="solid">
        <fgColor indexed="10"/>
        <bgColor indexed="64"/>
      </patternFill>
    </fill>
    <fill>
      <patternFill patternType="solid">
        <fgColor indexed="44"/>
        <bgColor indexed="64"/>
      </patternFill>
    </fill>
    <fill>
      <patternFill patternType="solid">
        <fgColor rgb="FFFF0000"/>
        <bgColor indexed="64"/>
      </patternFill>
    </fill>
    <fill>
      <patternFill patternType="solid">
        <fgColor rgb="FFFFFF00"/>
        <bgColor indexed="64"/>
      </patternFill>
    </fill>
  </fills>
  <borders count="63">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style="medium">
        <color indexed="64"/>
      </right>
      <top/>
      <bottom/>
      <diagonal/>
    </border>
    <border>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top style="thin">
        <color indexed="64"/>
      </top>
      <bottom style="medium">
        <color indexed="64"/>
      </bottom>
      <diagonal/>
    </border>
    <border>
      <left/>
      <right style="thin">
        <color indexed="64"/>
      </right>
      <top style="medium">
        <color indexed="64"/>
      </top>
      <bottom style="medium">
        <color indexed="64"/>
      </bottom>
      <diagonal/>
    </border>
    <border>
      <left/>
      <right/>
      <top/>
      <bottom style="medium">
        <color indexed="64"/>
      </bottom>
      <diagonal/>
    </border>
    <border>
      <left style="medium">
        <color rgb="FFC4C7C5"/>
      </left>
      <right style="medium">
        <color rgb="FFC4C7C5"/>
      </right>
      <top style="medium">
        <color rgb="FFC4C7C5"/>
      </top>
      <bottom style="medium">
        <color rgb="FFC4C7C5"/>
      </bottom>
      <diagonal/>
    </border>
  </borders>
  <cellStyleXfs count="1">
    <xf numFmtId="0" fontId="0" fillId="0" borderId="0"/>
  </cellStyleXfs>
  <cellXfs count="305">
    <xf numFmtId="0" fontId="0" fillId="0" borderId="0" xfId="0"/>
    <xf numFmtId="0" fontId="1" fillId="0" borderId="0" xfId="0" applyFont="1"/>
    <xf numFmtId="0" fontId="2" fillId="2" borderId="1" xfId="0" applyFont="1" applyFill="1" applyBorder="1" applyAlignment="1">
      <alignment horizontal="center"/>
    </xf>
    <xf numFmtId="0" fontId="1" fillId="3" borderId="2" xfId="0" applyFont="1" applyFill="1" applyBorder="1"/>
    <xf numFmtId="0" fontId="3" fillId="3" borderId="3" xfId="0" applyFont="1" applyFill="1" applyBorder="1" applyAlignment="1">
      <alignment horizontal="center"/>
    </xf>
    <xf numFmtId="0" fontId="4" fillId="0" borderId="4" xfId="0" applyFont="1" applyBorder="1" applyAlignment="1">
      <alignment horizontal="center"/>
    </xf>
    <xf numFmtId="0" fontId="1" fillId="0" borderId="0" xfId="0" applyFont="1" applyAlignment="1">
      <alignment horizontal="center"/>
    </xf>
    <xf numFmtId="0" fontId="2" fillId="2" borderId="5" xfId="0" applyFont="1" applyFill="1" applyBorder="1" applyAlignment="1">
      <alignment horizontal="center"/>
    </xf>
    <xf numFmtId="0" fontId="3" fillId="3" borderId="6" xfId="0" applyFont="1" applyFill="1" applyBorder="1" applyAlignment="1">
      <alignment horizontal="center"/>
    </xf>
    <xf numFmtId="0" fontId="3" fillId="3" borderId="7" xfId="0" applyFont="1" applyFill="1" applyBorder="1" applyAlignment="1">
      <alignment horizontal="center"/>
    </xf>
    <xf numFmtId="0" fontId="4" fillId="0" borderId="8" xfId="0" applyFont="1" applyBorder="1" applyAlignment="1">
      <alignment horizontal="center"/>
    </xf>
    <xf numFmtId="0" fontId="1" fillId="0" borderId="8" xfId="0" applyFont="1" applyBorder="1" applyAlignment="1">
      <alignment horizontal="center"/>
    </xf>
    <xf numFmtId="0" fontId="1" fillId="0" borderId="4" xfId="0" applyFont="1" applyBorder="1" applyAlignment="1">
      <alignment horizontal="center"/>
    </xf>
    <xf numFmtId="9" fontId="4" fillId="0" borderId="4" xfId="0" applyNumberFormat="1" applyFont="1" applyBorder="1" applyAlignment="1">
      <alignment horizontal="center"/>
    </xf>
    <xf numFmtId="0" fontId="1" fillId="3" borderId="6" xfId="0" applyFont="1" applyFill="1" applyBorder="1" applyAlignment="1">
      <alignment horizontal="center"/>
    </xf>
    <xf numFmtId="0" fontId="2" fillId="0" borderId="8" xfId="0" applyFont="1" applyBorder="1" applyAlignment="1">
      <alignment horizontal="center" vertical="center"/>
    </xf>
    <xf numFmtId="0" fontId="2" fillId="0" borderId="8" xfId="0" applyFont="1" applyBorder="1" applyAlignment="1">
      <alignment horizontal="center"/>
    </xf>
    <xf numFmtId="0" fontId="2" fillId="0" borderId="4" xfId="0" applyFont="1" applyBorder="1" applyAlignment="1">
      <alignment horizontal="center"/>
    </xf>
    <xf numFmtId="0" fontId="8" fillId="0" borderId="7" xfId="0" applyFont="1" applyBorder="1" applyAlignment="1">
      <alignment horizontal="center" vertical="center"/>
    </xf>
    <xf numFmtId="0" fontId="9" fillId="0" borderId="7" xfId="0" applyFont="1" applyBorder="1" applyAlignment="1">
      <alignment horizontal="center" vertical="center"/>
    </xf>
    <xf numFmtId="0" fontId="12" fillId="0" borderId="7" xfId="0" applyFont="1" applyBorder="1" applyAlignment="1">
      <alignment horizontal="center" vertical="center"/>
    </xf>
    <xf numFmtId="0" fontId="13" fillId="0" borderId="7"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1" fillId="0" borderId="9" xfId="0" applyFont="1" applyBorder="1" applyAlignment="1">
      <alignment horizontal="center"/>
    </xf>
    <xf numFmtId="0" fontId="0" fillId="0" borderId="10" xfId="0" applyBorder="1" applyAlignment="1">
      <alignment horizontal="center" vertical="center"/>
    </xf>
    <xf numFmtId="0" fontId="15" fillId="0" borderId="11" xfId="0" applyFont="1" applyBorder="1" applyAlignment="1">
      <alignment horizontal="center" vertical="center"/>
    </xf>
    <xf numFmtId="0" fontId="15" fillId="0" borderId="12" xfId="0" applyFont="1" applyBorder="1" applyAlignment="1">
      <alignment horizontal="center" vertical="center"/>
    </xf>
    <xf numFmtId="0" fontId="15" fillId="0" borderId="13" xfId="0" applyFont="1" applyBorder="1" applyAlignment="1">
      <alignment horizontal="center" vertical="center"/>
    </xf>
    <xf numFmtId="0" fontId="4" fillId="0" borderId="0" xfId="0" applyFont="1" applyAlignment="1">
      <alignment horizontal="center"/>
    </xf>
    <xf numFmtId="0" fontId="1" fillId="0" borderId="14" xfId="0" applyFont="1" applyBorder="1" applyAlignment="1">
      <alignment horizont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4" fillId="0" borderId="14" xfId="0" applyFont="1" applyBorder="1" applyAlignment="1">
      <alignment horizontal="center"/>
    </xf>
    <xf numFmtId="0" fontId="16" fillId="0" borderId="4" xfId="0" applyFont="1" applyBorder="1" applyAlignment="1">
      <alignment horizontal="center"/>
    </xf>
    <xf numFmtId="0" fontId="16" fillId="0" borderId="14" xfId="0" applyFont="1" applyBorder="1" applyAlignment="1">
      <alignment horizontal="center"/>
    </xf>
    <xf numFmtId="0" fontId="16" fillId="0" borderId="8" xfId="0" applyFont="1" applyBorder="1" applyAlignment="1">
      <alignment horizontal="center"/>
    </xf>
    <xf numFmtId="0" fontId="1" fillId="2" borderId="0" xfId="0" applyFont="1" applyFill="1"/>
    <xf numFmtId="0" fontId="1" fillId="4" borderId="0" xfId="0" applyFont="1" applyFill="1"/>
    <xf numFmtId="0" fontId="18" fillId="4" borderId="0" xfId="0" applyFont="1" applyFill="1"/>
    <xf numFmtId="0" fontId="19" fillId="0" borderId="0" xfId="0" applyFont="1"/>
    <xf numFmtId="0" fontId="12" fillId="0" borderId="15" xfId="0" applyFont="1" applyBorder="1" applyAlignment="1">
      <alignment horizontal="center"/>
    </xf>
    <xf numFmtId="0" fontId="12" fillId="0" borderId="4" xfId="0" applyFont="1" applyBorder="1" applyAlignment="1">
      <alignment horizontal="center"/>
    </xf>
    <xf numFmtId="0" fontId="15" fillId="0" borderId="0" xfId="0" applyFont="1"/>
    <xf numFmtId="0" fontId="8" fillId="0" borderId="0" xfId="0" applyFont="1"/>
    <xf numFmtId="0" fontId="4" fillId="0" borderId="0" xfId="0" applyFont="1"/>
    <xf numFmtId="0" fontId="5" fillId="0" borderId="6" xfId="0" applyFont="1" applyBorder="1"/>
    <xf numFmtId="0" fontId="21" fillId="0" borderId="0" xfId="0" applyFont="1"/>
    <xf numFmtId="0" fontId="2" fillId="0" borderId="16" xfId="0" applyFont="1" applyBorder="1" applyAlignment="1">
      <alignment horizontal="center"/>
    </xf>
    <xf numFmtId="0" fontId="2" fillId="0" borderId="17" xfId="0" applyFont="1" applyBorder="1" applyAlignment="1">
      <alignment horizontal="center"/>
    </xf>
    <xf numFmtId="0" fontId="2" fillId="0" borderId="18" xfId="0" applyFont="1" applyBorder="1" applyAlignment="1">
      <alignment horizontal="center"/>
    </xf>
    <xf numFmtId="0" fontId="12"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1" fillId="0" borderId="4" xfId="0" applyFont="1" applyBorder="1"/>
    <xf numFmtId="0" fontId="18" fillId="0" borderId="0" xfId="0" applyFont="1"/>
    <xf numFmtId="0" fontId="2" fillId="2" borderId="0" xfId="0" applyFont="1" applyFill="1" applyAlignment="1">
      <alignment horizontal="center"/>
    </xf>
    <xf numFmtId="0" fontId="1" fillId="3" borderId="0" xfId="0" applyFont="1" applyFill="1" applyAlignment="1">
      <alignment horizontal="center"/>
    </xf>
    <xf numFmtId="0" fontId="2" fillId="0" borderId="0" xfId="0" applyFont="1" applyAlignment="1">
      <alignment horizontal="center"/>
    </xf>
    <xf numFmtId="0" fontId="2" fillId="2" borderId="24" xfId="0" applyFont="1" applyFill="1" applyBorder="1" applyAlignment="1">
      <alignment horizontal="center"/>
    </xf>
    <xf numFmtId="14" fontId="1" fillId="0" borderId="0" xfId="0" applyNumberFormat="1" applyFont="1"/>
    <xf numFmtId="14" fontId="1" fillId="0" borderId="0" xfId="0" applyNumberFormat="1" applyFont="1" applyAlignment="1">
      <alignment horizontal="center"/>
    </xf>
    <xf numFmtId="0" fontId="1" fillId="0" borderId="17" xfId="0" applyFont="1" applyBorder="1" applyAlignment="1">
      <alignment horizontal="center"/>
    </xf>
    <xf numFmtId="0" fontId="1" fillId="0" borderId="21" xfId="0" applyFont="1" applyBorder="1" applyAlignment="1">
      <alignment horizontal="center"/>
    </xf>
    <xf numFmtId="0" fontId="1" fillId="0" borderId="18" xfId="0" applyFont="1" applyBorder="1" applyAlignment="1">
      <alignment horizontal="center"/>
    </xf>
    <xf numFmtId="0" fontId="1" fillId="0" borderId="25" xfId="0" applyFont="1" applyBorder="1" applyAlignment="1">
      <alignment horizontal="center"/>
    </xf>
    <xf numFmtId="0" fontId="20" fillId="0" borderId="26" xfId="0" applyFont="1" applyBorder="1"/>
    <xf numFmtId="0" fontId="18" fillId="0" borderId="27" xfId="0" applyFont="1" applyBorder="1"/>
    <xf numFmtId="0" fontId="1" fillId="3" borderId="23" xfId="0" applyFont="1" applyFill="1" applyBorder="1" applyAlignment="1">
      <alignment horizontal="center"/>
    </xf>
    <xf numFmtId="0" fontId="1" fillId="0" borderId="28" xfId="0" applyFont="1" applyBorder="1"/>
    <xf numFmtId="0" fontId="1" fillId="0" borderId="29" xfId="0" applyFont="1" applyBorder="1"/>
    <xf numFmtId="14" fontId="1" fillId="0" borderId="4" xfId="0" applyNumberFormat="1" applyFont="1" applyBorder="1"/>
    <xf numFmtId="0" fontId="1" fillId="0" borderId="15" xfId="0" applyFont="1" applyBorder="1"/>
    <xf numFmtId="0" fontId="1" fillId="0" borderId="30" xfId="0" applyFont="1" applyBorder="1"/>
    <xf numFmtId="0" fontId="20" fillId="0" borderId="0" xfId="0" applyFont="1"/>
    <xf numFmtId="0" fontId="3" fillId="0" borderId="0" xfId="0" applyFont="1"/>
    <xf numFmtId="0" fontId="8" fillId="0" borderId="0" xfId="0" applyFont="1" applyAlignment="1">
      <alignment horizontal="center" vertical="center"/>
    </xf>
    <xf numFmtId="0" fontId="4" fillId="0" borderId="31" xfId="0" applyFont="1" applyBorder="1" applyAlignment="1">
      <alignment horizontal="center"/>
    </xf>
    <xf numFmtId="0" fontId="4" fillId="0" borderId="32" xfId="0" applyFont="1" applyBorder="1" applyAlignment="1">
      <alignment horizontal="center"/>
    </xf>
    <xf numFmtId="0" fontId="3" fillId="3" borderId="33" xfId="0" applyFont="1" applyFill="1" applyBorder="1" applyAlignment="1">
      <alignment horizontal="center"/>
    </xf>
    <xf numFmtId="0" fontId="12" fillId="0" borderId="30" xfId="0" applyFont="1" applyBorder="1" applyAlignment="1">
      <alignment horizontal="center" vertical="center"/>
    </xf>
    <xf numFmtId="0" fontId="1" fillId="0" borderId="10" xfId="0" applyFont="1" applyBorder="1" applyAlignment="1">
      <alignment horizontal="center"/>
    </xf>
    <xf numFmtId="0" fontId="1" fillId="0" borderId="34" xfId="0" applyFont="1" applyBorder="1" applyAlignment="1">
      <alignment horizontal="center"/>
    </xf>
    <xf numFmtId="0" fontId="3" fillId="3" borderId="30" xfId="0" applyFont="1" applyFill="1" applyBorder="1" applyAlignment="1">
      <alignment horizontal="center"/>
    </xf>
    <xf numFmtId="0" fontId="1" fillId="0" borderId="16" xfId="0" applyFont="1" applyBorder="1" applyAlignment="1">
      <alignment horizontal="center"/>
    </xf>
    <xf numFmtId="0" fontId="1" fillId="0" borderId="22" xfId="0" applyFont="1" applyBorder="1" applyAlignment="1">
      <alignment horizontal="center"/>
    </xf>
    <xf numFmtId="0" fontId="4" fillId="0" borderId="16" xfId="0" applyFont="1" applyBorder="1" applyAlignment="1">
      <alignment horizontal="center"/>
    </xf>
    <xf numFmtId="0" fontId="4" fillId="0" borderId="17" xfId="0" applyFont="1" applyBorder="1" applyAlignment="1">
      <alignment horizontal="center"/>
    </xf>
    <xf numFmtId="9" fontId="4" fillId="0" borderId="17" xfId="0" applyNumberFormat="1" applyFont="1" applyBorder="1" applyAlignment="1">
      <alignment horizontal="center"/>
    </xf>
    <xf numFmtId="9" fontId="4" fillId="0" borderId="21" xfId="0" applyNumberFormat="1" applyFont="1" applyBorder="1" applyAlignment="1">
      <alignment horizontal="center"/>
    </xf>
    <xf numFmtId="0" fontId="1" fillId="0" borderId="35" xfId="0" applyFont="1" applyBorder="1" applyAlignment="1">
      <alignment wrapText="1"/>
    </xf>
    <xf numFmtId="0" fontId="1" fillId="0" borderId="36" xfId="0" applyFont="1" applyBorder="1" applyAlignment="1">
      <alignment horizontal="center"/>
    </xf>
    <xf numFmtId="0" fontId="1" fillId="0" borderId="30" xfId="0" applyFont="1" applyBorder="1" applyAlignment="1">
      <alignment wrapText="1"/>
    </xf>
    <xf numFmtId="14" fontId="4" fillId="0" borderId="10" xfId="0" applyNumberFormat="1" applyFont="1" applyBorder="1" applyAlignment="1">
      <alignment horizontal="center"/>
    </xf>
    <xf numFmtId="14" fontId="4" fillId="0" borderId="34" xfId="0" applyNumberFormat="1" applyFont="1" applyBorder="1" applyAlignment="1">
      <alignment horizontal="center"/>
    </xf>
    <xf numFmtId="0" fontId="2" fillId="0" borderId="27" xfId="0" applyFont="1" applyBorder="1"/>
    <xf numFmtId="0" fontId="20" fillId="0" borderId="31" xfId="0" applyFont="1" applyBorder="1"/>
    <xf numFmtId="0" fontId="18" fillId="0" borderId="32" xfId="0" applyFont="1" applyBorder="1"/>
    <xf numFmtId="0" fontId="2" fillId="0" borderId="33" xfId="0" applyFont="1" applyBorder="1"/>
    <xf numFmtId="0" fontId="2" fillId="2" borderId="33" xfId="0" applyFont="1" applyFill="1" applyBorder="1" applyAlignment="1">
      <alignment horizontal="center"/>
    </xf>
    <xf numFmtId="0" fontId="2" fillId="0" borderId="37" xfId="0" applyFont="1" applyBorder="1" applyAlignment="1">
      <alignment horizontal="center"/>
    </xf>
    <xf numFmtId="0" fontId="2" fillId="0" borderId="12" xfId="0" applyFont="1" applyBorder="1" applyAlignment="1">
      <alignment horizontal="center"/>
    </xf>
    <xf numFmtId="0" fontId="1" fillId="0" borderId="32" xfId="0" applyFont="1" applyBorder="1" applyAlignment="1">
      <alignment horizontal="center"/>
    </xf>
    <xf numFmtId="0" fontId="1" fillId="0" borderId="2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 fillId="0" borderId="33" xfId="0" applyFont="1" applyBorder="1" applyAlignment="1">
      <alignment horizontal="center"/>
    </xf>
    <xf numFmtId="0" fontId="1" fillId="0" borderId="37" xfId="0" applyFont="1" applyBorder="1" applyAlignment="1">
      <alignment horizontal="center"/>
    </xf>
    <xf numFmtId="0" fontId="1" fillId="0" borderId="12" xfId="0" applyFont="1" applyBorder="1" applyAlignment="1">
      <alignment horizontal="center"/>
    </xf>
    <xf numFmtId="0" fontId="1" fillId="0" borderId="40" xfId="0" applyFont="1" applyBorder="1" applyAlignment="1">
      <alignment horizontal="center"/>
    </xf>
    <xf numFmtId="0" fontId="12" fillId="0" borderId="0" xfId="0" applyFont="1" applyAlignment="1">
      <alignment horizontal="center" vertical="center"/>
    </xf>
    <xf numFmtId="14" fontId="4" fillId="0" borderId="0" xfId="0" applyNumberFormat="1" applyFont="1" applyAlignment="1">
      <alignment horizontal="center"/>
    </xf>
    <xf numFmtId="0" fontId="3" fillId="3" borderId="0" xfId="0" applyFont="1" applyFill="1" applyAlignment="1">
      <alignment horizontal="center"/>
    </xf>
    <xf numFmtId="9" fontId="4" fillId="0" borderId="0" xfId="0" applyNumberFormat="1" applyFont="1" applyAlignment="1">
      <alignment horizontal="center"/>
    </xf>
    <xf numFmtId="0" fontId="1" fillId="0" borderId="0" xfId="0" applyFont="1" applyAlignment="1">
      <alignment wrapText="1"/>
    </xf>
    <xf numFmtId="0" fontId="2" fillId="0" borderId="0" xfId="0" applyFont="1" applyAlignment="1">
      <alignment horizontal="left"/>
    </xf>
    <xf numFmtId="0" fontId="15" fillId="0" borderId="0" xfId="0" applyFont="1" applyAlignment="1">
      <alignment horizontal="left"/>
    </xf>
    <xf numFmtId="0" fontId="8" fillId="0" borderId="41" xfId="0" applyFont="1" applyBorder="1" applyAlignment="1">
      <alignment horizontal="center" vertical="center"/>
    </xf>
    <xf numFmtId="0" fontId="2" fillId="0" borderId="0" xfId="0" applyFont="1" applyAlignment="1">
      <alignment horizontal="center" vertical="center"/>
    </xf>
    <xf numFmtId="0" fontId="3" fillId="0" borderId="15" xfId="0" applyFont="1" applyBorder="1"/>
    <xf numFmtId="0" fontId="3" fillId="0" borderId="18" xfId="0" applyFont="1" applyBorder="1"/>
    <xf numFmtId="0" fontId="3" fillId="0" borderId="43" xfId="0" applyFont="1" applyBorder="1"/>
    <xf numFmtId="0" fontId="1" fillId="3" borderId="7" xfId="0" applyFont="1" applyFill="1" applyBorder="1" applyAlignment="1">
      <alignment horizontal="center"/>
    </xf>
    <xf numFmtId="0" fontId="12" fillId="0" borderId="21" xfId="0" applyFont="1" applyBorder="1" applyAlignment="1">
      <alignment horizontal="center"/>
    </xf>
    <xf numFmtId="0" fontId="12" fillId="0" borderId="43" xfId="0" applyFont="1" applyBorder="1" applyAlignment="1">
      <alignment horizontal="center"/>
    </xf>
    <xf numFmtId="0" fontId="12" fillId="0" borderId="25" xfId="0" applyFont="1" applyBorder="1" applyAlignment="1">
      <alignment horizontal="center"/>
    </xf>
    <xf numFmtId="0" fontId="10" fillId="0" borderId="0" xfId="0" applyFont="1" applyAlignment="1">
      <alignment horizontal="left" vertical="center" wrapText="1"/>
    </xf>
    <xf numFmtId="0" fontId="1" fillId="0" borderId="0" xfId="0" applyFont="1" applyAlignment="1">
      <alignment horizontal="center" vertical="center"/>
    </xf>
    <xf numFmtId="0" fontId="23" fillId="0" borderId="0" xfId="0" applyFont="1" applyAlignment="1">
      <alignment horizontal="center" vertical="center"/>
    </xf>
    <xf numFmtId="0" fontId="5" fillId="0" borderId="0" xfId="0" applyFont="1"/>
    <xf numFmtId="0" fontId="2" fillId="2" borderId="51" xfId="0" applyFont="1" applyFill="1" applyBorder="1" applyAlignment="1">
      <alignment horizontal="center"/>
    </xf>
    <xf numFmtId="0" fontId="1" fillId="3" borderId="52" xfId="0" applyFont="1" applyFill="1" applyBorder="1" applyAlignment="1">
      <alignment horizontal="center"/>
    </xf>
    <xf numFmtId="0" fontId="3" fillId="3" borderId="53" xfId="0" applyFont="1" applyFill="1" applyBorder="1" applyAlignment="1">
      <alignment horizontal="center"/>
    </xf>
    <xf numFmtId="0" fontId="8" fillId="0" borderId="21" xfId="0" applyFont="1" applyBorder="1" applyAlignment="1">
      <alignment horizontal="center" vertical="center"/>
    </xf>
    <xf numFmtId="0" fontId="8" fillId="0" borderId="43" xfId="0" applyFont="1" applyBorder="1" applyAlignment="1">
      <alignment horizontal="center" vertical="center"/>
    </xf>
    <xf numFmtId="0" fontId="8" fillId="0" borderId="25" xfId="0" applyFont="1" applyBorder="1" applyAlignment="1">
      <alignment horizontal="center" vertical="center"/>
    </xf>
    <xf numFmtId="0" fontId="1" fillId="3" borderId="52" xfId="0" applyFont="1" applyFill="1" applyBorder="1"/>
    <xf numFmtId="0" fontId="4" fillId="0" borderId="25" xfId="0" applyFont="1" applyBorder="1" applyAlignment="1">
      <alignment horizontal="center"/>
    </xf>
    <xf numFmtId="0" fontId="11" fillId="0" borderId="56" xfId="0" applyFont="1" applyBorder="1"/>
    <xf numFmtId="0" fontId="8" fillId="0" borderId="22" xfId="0" applyFont="1" applyBorder="1" applyAlignment="1">
      <alignment horizontal="center" vertical="center"/>
    </xf>
    <xf numFmtId="0" fontId="1" fillId="3" borderId="53" xfId="0" applyFont="1" applyFill="1" applyBorder="1" applyAlignment="1">
      <alignment horizontal="center"/>
    </xf>
    <xf numFmtId="0" fontId="9" fillId="0" borderId="25" xfId="0" applyFont="1" applyBorder="1" applyAlignment="1">
      <alignment horizontal="center" vertical="center"/>
    </xf>
    <xf numFmtId="0" fontId="23" fillId="0" borderId="21" xfId="0" applyFont="1" applyBorder="1" applyAlignment="1">
      <alignment horizontal="center" vertical="center"/>
    </xf>
    <xf numFmtId="2" fontId="8" fillId="0" borderId="43" xfId="0" applyNumberFormat="1" applyFont="1" applyBorder="1" applyAlignment="1">
      <alignment horizontal="center" vertical="center"/>
    </xf>
    <xf numFmtId="0" fontId="23" fillId="0" borderId="25" xfId="0" applyFont="1" applyBorder="1" applyAlignment="1">
      <alignment horizontal="center" vertical="center"/>
    </xf>
    <xf numFmtId="0" fontId="8" fillId="0" borderId="8" xfId="0" applyFont="1" applyBorder="1" applyAlignment="1">
      <alignment horizontal="center" vertical="center"/>
    </xf>
    <xf numFmtId="0" fontId="23" fillId="0" borderId="22" xfId="0" applyFont="1" applyBorder="1" applyAlignment="1">
      <alignment horizontal="center" vertical="center"/>
    </xf>
    <xf numFmtId="0" fontId="11" fillId="0" borderId="49" xfId="0" applyFont="1" applyBorder="1"/>
    <xf numFmtId="0" fontId="11" fillId="0" borderId="38" xfId="0" applyFont="1" applyBorder="1"/>
    <xf numFmtId="0" fontId="11" fillId="0" borderId="50" xfId="0" applyFont="1" applyBorder="1"/>
    <xf numFmtId="0" fontId="11" fillId="0" borderId="59" xfId="0" applyFont="1" applyBorder="1"/>
    <xf numFmtId="0" fontId="11" fillId="0" borderId="39" xfId="0" applyFont="1" applyBorder="1"/>
    <xf numFmtId="0" fontId="19" fillId="0" borderId="0" xfId="0" applyFont="1" applyAlignment="1">
      <alignment horizontal="left"/>
    </xf>
    <xf numFmtId="0" fontId="2" fillId="2" borderId="5" xfId="0" applyFont="1" applyFill="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0" fontId="1" fillId="3" borderId="7" xfId="0" applyFont="1" applyFill="1" applyBorder="1" applyAlignment="1">
      <alignment horizontal="center" vertical="center"/>
    </xf>
    <xf numFmtId="0" fontId="12" fillId="0" borderId="21" xfId="0" applyFont="1" applyBorder="1" applyAlignment="1">
      <alignment horizontal="center" vertical="center"/>
    </xf>
    <xf numFmtId="0" fontId="12" fillId="0" borderId="25" xfId="0" applyFont="1" applyBorder="1" applyAlignment="1">
      <alignment horizontal="center" vertical="center"/>
    </xf>
    <xf numFmtId="0" fontId="2" fillId="2" borderId="51" xfId="0" applyFont="1" applyFill="1" applyBorder="1" applyAlignment="1">
      <alignment horizontal="center" vertical="center"/>
    </xf>
    <xf numFmtId="0" fontId="1" fillId="3" borderId="53" xfId="0" applyFont="1" applyFill="1" applyBorder="1" applyAlignment="1">
      <alignment horizontal="center" vertical="center"/>
    </xf>
    <xf numFmtId="0" fontId="1" fillId="0" borderId="21" xfId="0" applyFont="1" applyBorder="1"/>
    <xf numFmtId="0" fontId="8" fillId="0" borderId="21" xfId="0" quotePrefix="1" applyFont="1" applyBorder="1" applyAlignment="1">
      <alignment horizontal="center" vertical="center"/>
    </xf>
    <xf numFmtId="0" fontId="8" fillId="0" borderId="25" xfId="0" quotePrefix="1" applyFont="1" applyBorder="1" applyAlignment="1">
      <alignment horizontal="center" vertical="center"/>
    </xf>
    <xf numFmtId="0" fontId="2" fillId="3" borderId="5" xfId="0" applyFont="1" applyFill="1" applyBorder="1" applyAlignment="1">
      <alignment horizontal="center"/>
    </xf>
    <xf numFmtId="0" fontId="4" fillId="3" borderId="6" xfId="0" applyFont="1" applyFill="1" applyBorder="1" applyAlignment="1">
      <alignment horizontal="center"/>
    </xf>
    <xf numFmtId="0" fontId="2" fillId="3" borderId="7" xfId="0" applyFont="1" applyFill="1" applyBorder="1" applyAlignment="1">
      <alignment horizontal="center"/>
    </xf>
    <xf numFmtId="0" fontId="1" fillId="3" borderId="60" xfId="0" applyFont="1" applyFill="1" applyBorder="1" applyAlignment="1">
      <alignment horizontal="center"/>
    </xf>
    <xf numFmtId="0" fontId="8" fillId="0" borderId="14" xfId="0" applyFont="1" applyBorder="1" applyAlignment="1">
      <alignment horizontal="center" vertical="center"/>
    </xf>
    <xf numFmtId="0" fontId="8" fillId="0" borderId="46" xfId="0" applyFont="1" applyBorder="1" applyAlignment="1">
      <alignment horizontal="center" vertical="center"/>
    </xf>
    <xf numFmtId="164" fontId="8" fillId="0" borderId="54" xfId="0" applyNumberFormat="1" applyFont="1" applyBorder="1" applyAlignment="1">
      <alignment horizontal="center" vertical="center"/>
    </xf>
    <xf numFmtId="0" fontId="2" fillId="2" borderId="30" xfId="0" applyFont="1" applyFill="1" applyBorder="1" applyAlignment="1">
      <alignment horizontal="center"/>
    </xf>
    <xf numFmtId="0" fontId="2" fillId="0" borderId="13" xfId="0" applyFont="1" applyBorder="1" applyAlignment="1">
      <alignment horizontal="center"/>
    </xf>
    <xf numFmtId="0" fontId="2" fillId="0" borderId="40" xfId="0" applyFont="1" applyBorder="1" applyAlignment="1">
      <alignment horizontal="center"/>
    </xf>
    <xf numFmtId="0" fontId="8" fillId="0" borderId="46" xfId="0" quotePrefix="1" applyFont="1" applyBorder="1" applyAlignment="1">
      <alignment horizontal="center" vertical="center"/>
    </xf>
    <xf numFmtId="0" fontId="8" fillId="0" borderId="54" xfId="0" quotePrefix="1" applyFont="1" applyBorder="1" applyAlignment="1">
      <alignment horizontal="center" vertical="center"/>
    </xf>
    <xf numFmtId="0" fontId="4" fillId="0" borderId="37" xfId="0" applyFont="1" applyBorder="1" applyAlignment="1">
      <alignment horizontal="center" vertical="center"/>
    </xf>
    <xf numFmtId="0" fontId="4" fillId="0" borderId="12" xfId="0" applyFont="1" applyBorder="1" applyAlignment="1">
      <alignment horizontal="center" vertical="center"/>
    </xf>
    <xf numFmtId="0" fontId="4" fillId="0" borderId="40" xfId="0" applyFont="1" applyBorder="1" applyAlignment="1">
      <alignment horizontal="center" vertical="center"/>
    </xf>
    <xf numFmtId="165" fontId="12" fillId="0" borderId="14" xfId="0" applyNumberFormat="1" applyFont="1" applyBorder="1" applyAlignment="1">
      <alignment horizontal="center" vertical="center"/>
    </xf>
    <xf numFmtId="165" fontId="12" fillId="0" borderId="46" xfId="0" applyNumberFormat="1" applyFont="1" applyBorder="1" applyAlignment="1">
      <alignment horizontal="center" vertical="center"/>
    </xf>
    <xf numFmtId="0" fontId="12" fillId="0" borderId="46" xfId="0" applyFont="1" applyBorder="1" applyAlignment="1">
      <alignment horizontal="center" vertical="center"/>
    </xf>
    <xf numFmtId="0" fontId="12" fillId="0" borderId="54" xfId="0" applyFont="1" applyBorder="1" applyAlignment="1">
      <alignment horizontal="center" vertical="center"/>
    </xf>
    <xf numFmtId="165" fontId="12" fillId="0" borderId="4" xfId="0" applyNumberFormat="1" applyFont="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12" fillId="0" borderId="43" xfId="0" applyFont="1" applyBorder="1" applyAlignment="1">
      <alignment horizontal="center" vertical="center"/>
    </xf>
    <xf numFmtId="0" fontId="4" fillId="0" borderId="16" xfId="0" applyFont="1" applyBorder="1" applyAlignment="1">
      <alignment horizontal="center" vertical="center"/>
    </xf>
    <xf numFmtId="165" fontId="12" fillId="0" borderId="8" xfId="0" applyNumberFormat="1" applyFont="1" applyBorder="1" applyAlignment="1">
      <alignment horizontal="center" vertical="center"/>
    </xf>
    <xf numFmtId="164" fontId="8" fillId="0" borderId="43" xfId="0" applyNumberFormat="1" applyFont="1" applyBorder="1" applyAlignment="1">
      <alignment horizontal="center" vertical="center"/>
    </xf>
    <xf numFmtId="0" fontId="8" fillId="0" borderId="4" xfId="0" quotePrefix="1" applyFont="1" applyBorder="1" applyAlignment="1">
      <alignment horizontal="center" vertical="center"/>
    </xf>
    <xf numFmtId="0" fontId="8" fillId="0" borderId="43" xfId="0" quotePrefix="1" applyFont="1" applyBorder="1" applyAlignment="1">
      <alignment horizontal="center" vertical="center"/>
    </xf>
    <xf numFmtId="0" fontId="2" fillId="3" borderId="23" xfId="0" applyFont="1" applyFill="1" applyBorder="1" applyAlignment="1">
      <alignment horizontal="center"/>
    </xf>
    <xf numFmtId="0" fontId="4" fillId="0" borderId="0" xfId="0" applyFont="1" applyAlignment="1">
      <alignment horizontal="center" vertical="center"/>
    </xf>
    <xf numFmtId="0" fontId="19" fillId="0" borderId="42" xfId="0" applyFont="1" applyBorder="1" applyAlignment="1">
      <alignment wrapText="1"/>
    </xf>
    <xf numFmtId="0" fontId="0" fillId="0" borderId="0" xfId="0" applyAlignment="1">
      <alignment wrapText="1"/>
    </xf>
    <xf numFmtId="0" fontId="10" fillId="0" borderId="62" xfId="0" applyFont="1" applyBorder="1" applyAlignment="1">
      <alignment vertical="center" wrapText="1"/>
    </xf>
    <xf numFmtId="0" fontId="24" fillId="0" borderId="62" xfId="0" applyFont="1" applyBorder="1" applyAlignment="1">
      <alignment vertical="center" wrapText="1"/>
    </xf>
    <xf numFmtId="0" fontId="24" fillId="0" borderId="0" xfId="0" applyFont="1" applyAlignment="1">
      <alignment horizontal="left" vertical="top" wrapText="1"/>
    </xf>
    <xf numFmtId="0" fontId="1" fillId="0" borderId="0" xfId="0" applyFont="1"/>
    <xf numFmtId="0" fontId="4" fillId="0" borderId="0" xfId="0" applyFont="1" applyAlignment="1">
      <alignment horizontal="left"/>
    </xf>
    <xf numFmtId="0" fontId="19" fillId="0" borderId="0" xfId="0" applyFont="1" applyAlignment="1">
      <alignment horizontal="left"/>
    </xf>
    <xf numFmtId="0" fontId="2" fillId="2" borderId="44" xfId="0" applyFont="1" applyFill="1" applyBorder="1" applyAlignment="1">
      <alignment horizontal="center"/>
    </xf>
    <xf numFmtId="0" fontId="6" fillId="0" borderId="45" xfId="0" applyFont="1" applyBorder="1" applyAlignment="1">
      <alignment horizontal="center"/>
    </xf>
    <xf numFmtId="0" fontId="6" fillId="0" borderId="41" xfId="0" applyFont="1" applyBorder="1" applyAlignment="1">
      <alignment horizontal="center"/>
    </xf>
    <xf numFmtId="0" fontId="8" fillId="0" borderId="42" xfId="0" applyFont="1" applyBorder="1" applyAlignment="1">
      <alignment horizontal="center"/>
    </xf>
    <xf numFmtId="0" fontId="3" fillId="0" borderId="0" xfId="0" applyFont="1"/>
    <xf numFmtId="0" fontId="4" fillId="0" borderId="0" xfId="0" applyFont="1"/>
    <xf numFmtId="0" fontId="7" fillId="5" borderId="44" xfId="0" applyFont="1" applyFill="1" applyBorder="1" applyAlignment="1">
      <alignment horizontal="center"/>
    </xf>
    <xf numFmtId="0" fontId="7" fillId="5" borderId="45" xfId="0" applyFont="1" applyFill="1" applyBorder="1" applyAlignment="1">
      <alignment horizontal="center"/>
    </xf>
    <xf numFmtId="0" fontId="7" fillId="5" borderId="41" xfId="0" applyFont="1" applyFill="1" applyBorder="1" applyAlignment="1">
      <alignment horizontal="center"/>
    </xf>
    <xf numFmtId="0" fontId="2" fillId="3" borderId="4" xfId="0" applyFont="1" applyFill="1" applyBorder="1" applyAlignment="1">
      <alignment horizontal="center"/>
    </xf>
    <xf numFmtId="0" fontId="3" fillId="0" borderId="17" xfId="0" applyFont="1" applyBorder="1"/>
    <xf numFmtId="0" fontId="3" fillId="0" borderId="4" xfId="0" applyFont="1" applyBorder="1"/>
    <xf numFmtId="0" fontId="3" fillId="0" borderId="18" xfId="0" applyFont="1" applyBorder="1" applyAlignment="1">
      <alignment horizontal="left" vertical="center"/>
    </xf>
    <xf numFmtId="0" fontId="3" fillId="0" borderId="43" xfId="0" applyFont="1" applyBorder="1" applyAlignment="1">
      <alignment horizontal="left" vertical="center"/>
    </xf>
    <xf numFmtId="0" fontId="3" fillId="0" borderId="17" xfId="0" applyFont="1" applyBorder="1" applyAlignment="1">
      <alignment horizontal="left" vertical="center"/>
    </xf>
    <xf numFmtId="0" fontId="3" fillId="0" borderId="4" xfId="0" applyFont="1" applyBorder="1" applyAlignment="1">
      <alignment horizontal="left" vertical="center"/>
    </xf>
    <xf numFmtId="0" fontId="2" fillId="2" borderId="51" xfId="0" applyFont="1" applyFill="1" applyBorder="1" applyAlignment="1">
      <alignment horizontal="center"/>
    </xf>
    <xf numFmtId="0" fontId="2" fillId="2" borderId="52" xfId="0" applyFont="1" applyFill="1" applyBorder="1" applyAlignment="1">
      <alignment horizontal="center"/>
    </xf>
    <xf numFmtId="0" fontId="2" fillId="2" borderId="5" xfId="0" applyFont="1" applyFill="1" applyBorder="1"/>
    <xf numFmtId="0" fontId="6" fillId="0" borderId="6" xfId="0" applyFont="1" applyBorder="1"/>
    <xf numFmtId="0" fontId="6" fillId="0" borderId="7" xfId="0" applyFont="1" applyBorder="1"/>
    <xf numFmtId="0" fontId="2" fillId="0" borderId="0" xfId="0" applyFont="1" applyAlignment="1">
      <alignment horizontal="center" vertical="center"/>
    </xf>
    <xf numFmtId="0" fontId="3" fillId="0" borderId="15" xfId="0" applyFont="1" applyBorder="1"/>
    <xf numFmtId="0" fontId="3" fillId="0" borderId="46" xfId="0" applyFont="1" applyBorder="1"/>
    <xf numFmtId="0" fontId="3" fillId="0" borderId="16" xfId="0" applyFont="1" applyBorder="1"/>
    <xf numFmtId="0" fontId="3" fillId="0" borderId="8" xfId="0" applyFont="1" applyBorder="1"/>
    <xf numFmtId="0" fontId="15" fillId="0" borderId="0" xfId="0" applyFont="1" applyAlignment="1">
      <alignment horizontal="left"/>
    </xf>
    <xf numFmtId="0" fontId="3" fillId="0" borderId="18" xfId="0" applyFont="1" applyBorder="1"/>
    <xf numFmtId="0" fontId="3" fillId="0" borderId="43" xfId="0" applyFont="1" applyBorder="1"/>
    <xf numFmtId="0" fontId="21" fillId="0" borderId="0" xfId="0" applyFont="1"/>
    <xf numFmtId="0" fontId="19" fillId="0" borderId="42" xfId="0" applyFont="1" applyBorder="1" applyAlignment="1">
      <alignment wrapText="1"/>
    </xf>
    <xf numFmtId="0" fontId="0" fillId="0" borderId="42" xfId="0" applyBorder="1" applyAlignment="1">
      <alignment wrapText="1"/>
    </xf>
    <xf numFmtId="0" fontId="0" fillId="0" borderId="0" xfId="0" applyAlignment="1">
      <alignment wrapText="1"/>
    </xf>
    <xf numFmtId="0" fontId="2" fillId="2" borderId="31" xfId="0" applyFont="1" applyFill="1" applyBorder="1"/>
    <xf numFmtId="0" fontId="6" fillId="0" borderId="42" xfId="0" applyFont="1" applyBorder="1"/>
    <xf numFmtId="0" fontId="6" fillId="0" borderId="32" xfId="0" applyFont="1" applyBorder="1"/>
    <xf numFmtId="0" fontId="4" fillId="0" borderId="4" xfId="0" applyFont="1" applyBorder="1"/>
    <xf numFmtId="0" fontId="2" fillId="2" borderId="5" xfId="0" applyFont="1" applyFill="1" applyBorder="1" applyAlignment="1">
      <alignment horizontal="center"/>
    </xf>
    <xf numFmtId="0" fontId="5" fillId="0" borderId="6" xfId="0" applyFont="1" applyBorder="1"/>
    <xf numFmtId="0" fontId="2" fillId="2" borderId="26" xfId="0" applyFont="1" applyFill="1" applyBorder="1" applyAlignment="1">
      <alignment horizontal="center"/>
    </xf>
    <xf numFmtId="0" fontId="2" fillId="2" borderId="55" xfId="0" applyFont="1" applyFill="1" applyBorder="1" applyAlignment="1">
      <alignment horizontal="center"/>
    </xf>
    <xf numFmtId="0" fontId="3" fillId="0" borderId="49" xfId="0" applyFont="1" applyBorder="1" applyAlignment="1">
      <alignment horizontal="left"/>
    </xf>
    <xf numFmtId="0" fontId="3" fillId="0" borderId="46" xfId="0" applyFont="1" applyBorder="1" applyAlignment="1">
      <alignment horizontal="left"/>
    </xf>
    <xf numFmtId="0" fontId="3" fillId="0" borderId="50" xfId="0" applyFont="1" applyBorder="1" applyAlignment="1">
      <alignment horizontal="left"/>
    </xf>
    <xf numFmtId="0" fontId="3" fillId="0" borderId="54" xfId="0" applyFont="1" applyBorder="1" applyAlignment="1">
      <alignment horizontal="left"/>
    </xf>
    <xf numFmtId="0" fontId="2" fillId="2" borderId="6" xfId="0" applyFont="1" applyFill="1" applyBorder="1" applyAlignment="1">
      <alignment horizontal="center"/>
    </xf>
    <xf numFmtId="0" fontId="3" fillId="0" borderId="17" xfId="0" applyFont="1" applyBorder="1" applyAlignment="1">
      <alignment horizontal="left"/>
    </xf>
    <xf numFmtId="0" fontId="3" fillId="0" borderId="4" xfId="0" applyFont="1" applyBorder="1" applyAlignment="1">
      <alignment horizontal="left"/>
    </xf>
    <xf numFmtId="0" fontId="3" fillId="0" borderId="18" xfId="0" applyFont="1" applyBorder="1" applyAlignment="1">
      <alignment horizontal="left"/>
    </xf>
    <xf numFmtId="0" fontId="3" fillId="0" borderId="43" xfId="0" applyFont="1" applyBorder="1" applyAlignment="1">
      <alignment horizontal="left"/>
    </xf>
    <xf numFmtId="0" fontId="2" fillId="2" borderId="60" xfId="0" applyFont="1" applyFill="1" applyBorder="1" applyAlignment="1">
      <alignment horizontal="center"/>
    </xf>
    <xf numFmtId="0" fontId="2" fillId="2" borderId="44" xfId="0" applyFont="1" applyFill="1" applyBorder="1"/>
    <xf numFmtId="0" fontId="6" fillId="0" borderId="45" xfId="0" applyFont="1" applyBorder="1"/>
    <xf numFmtId="0" fontId="6" fillId="0" borderId="41" xfId="0" applyFont="1" applyBorder="1"/>
    <xf numFmtId="0" fontId="4" fillId="0" borderId="18" xfId="0" applyFont="1" applyBorder="1"/>
    <xf numFmtId="0" fontId="4" fillId="0" borderId="43" xfId="0" applyFont="1" applyBorder="1"/>
    <xf numFmtId="0" fontId="4" fillId="0" borderId="25" xfId="0" applyFont="1" applyBorder="1"/>
    <xf numFmtId="0" fontId="4" fillId="0" borderId="17" xfId="0" applyFont="1" applyBorder="1"/>
    <xf numFmtId="0" fontId="4" fillId="0" borderId="21" xfId="0" applyFont="1" applyBorder="1"/>
    <xf numFmtId="0" fontId="2" fillId="2" borderId="31" xfId="0" applyFont="1" applyFill="1" applyBorder="1" applyAlignment="1">
      <alignment horizontal="center"/>
    </xf>
    <xf numFmtId="0" fontId="2" fillId="2" borderId="42" xfId="0" applyFont="1" applyFill="1" applyBorder="1" applyAlignment="1">
      <alignment horizontal="center"/>
    </xf>
    <xf numFmtId="0" fontId="2" fillId="2" borderId="32" xfId="0" applyFont="1" applyFill="1" applyBorder="1" applyAlignment="1">
      <alignment horizontal="center"/>
    </xf>
    <xf numFmtId="0" fontId="4" fillId="7" borderId="5" xfId="0" applyFont="1" applyFill="1" applyBorder="1" applyAlignment="1">
      <alignment horizontal="center" vertical="center"/>
    </xf>
    <xf numFmtId="0" fontId="4" fillId="7" borderId="6" xfId="0" applyFont="1" applyFill="1" applyBorder="1" applyAlignment="1">
      <alignment horizontal="center" vertical="center"/>
    </xf>
    <xf numFmtId="0" fontId="4" fillId="7" borderId="7" xfId="0" applyFont="1" applyFill="1" applyBorder="1" applyAlignment="1">
      <alignment horizontal="center" vertical="center"/>
    </xf>
    <xf numFmtId="0" fontId="4" fillId="0" borderId="16" xfId="0" applyFont="1" applyBorder="1"/>
    <xf numFmtId="0" fontId="4" fillId="0" borderId="8" xfId="0" applyFont="1" applyBorder="1"/>
    <xf numFmtId="0" fontId="4" fillId="0" borderId="22" xfId="0" applyFont="1" applyBorder="1"/>
    <xf numFmtId="0" fontId="2" fillId="2" borderId="7" xfId="0" applyFont="1" applyFill="1" applyBorder="1" applyAlignment="1">
      <alignment horizontal="center"/>
    </xf>
    <xf numFmtId="0" fontId="20" fillId="0" borderId="4" xfId="0" applyFont="1" applyBorder="1"/>
    <xf numFmtId="0" fontId="2" fillId="0" borderId="57" xfId="0" applyFont="1" applyBorder="1" applyAlignment="1">
      <alignment horizontal="center" vertical="center" wrapText="1"/>
    </xf>
    <xf numFmtId="0" fontId="0" fillId="0" borderId="58" xfId="0" applyBorder="1" applyAlignment="1">
      <alignment horizontal="center" vertical="center" wrapText="1"/>
    </xf>
    <xf numFmtId="0" fontId="0" fillId="0" borderId="35" xfId="0" applyBorder="1" applyAlignment="1">
      <alignment horizontal="center" vertical="center" wrapText="1"/>
    </xf>
    <xf numFmtId="0" fontId="0" fillId="0" borderId="28" xfId="0" applyBorder="1" applyAlignment="1">
      <alignment horizontal="center" vertical="center" wrapText="1"/>
    </xf>
    <xf numFmtId="0" fontId="0" fillId="0" borderId="61" xfId="0" applyBorder="1" applyAlignment="1">
      <alignment horizontal="center" vertical="center" wrapText="1"/>
    </xf>
    <xf numFmtId="0" fontId="0" fillId="0" borderId="29" xfId="0" applyBorder="1" applyAlignment="1">
      <alignment horizontal="center" vertical="center" wrapText="1"/>
    </xf>
    <xf numFmtId="0" fontId="1" fillId="0" borderId="4" xfId="0" applyFont="1" applyBorder="1"/>
    <xf numFmtId="0" fontId="1" fillId="0" borderId="0" xfId="0" applyFont="1" applyAlignment="1">
      <alignment horizontal="center" wrapText="1"/>
    </xf>
    <xf numFmtId="0" fontId="1" fillId="0" borderId="33" xfId="0" applyFont="1" applyBorder="1" applyAlignment="1">
      <alignment horizontal="center" wrapText="1"/>
    </xf>
    <xf numFmtId="0" fontId="1" fillId="0" borderId="47" xfId="0" applyFont="1" applyBorder="1" applyAlignment="1">
      <alignment horizontal="center" wrapText="1"/>
    </xf>
    <xf numFmtId="0" fontId="1" fillId="0" borderId="48" xfId="0" applyFont="1" applyBorder="1" applyAlignment="1">
      <alignment horizontal="center" wrapText="1"/>
    </xf>
    <xf numFmtId="0" fontId="2" fillId="0" borderId="26" xfId="0" applyFont="1" applyBorder="1" applyAlignment="1">
      <alignment horizontal="center"/>
    </xf>
    <xf numFmtId="0" fontId="2" fillId="0" borderId="27" xfId="0" applyFont="1" applyBorder="1" applyAlignment="1">
      <alignment horizontal="center"/>
    </xf>
    <xf numFmtId="0" fontId="14" fillId="0" borderId="4" xfId="0" applyFont="1" applyBorder="1"/>
    <xf numFmtId="14" fontId="20" fillId="0" borderId="26" xfId="0" applyNumberFormat="1" applyFont="1" applyBorder="1" applyAlignment="1">
      <alignment horizontal="center"/>
    </xf>
    <xf numFmtId="14" fontId="20" fillId="0" borderId="27" xfId="0" applyNumberFormat="1" applyFont="1" applyBorder="1" applyAlignment="1">
      <alignment horizontal="center"/>
    </xf>
    <xf numFmtId="14" fontId="20" fillId="0" borderId="0" xfId="0" applyNumberFormat="1" applyFont="1" applyAlignment="1">
      <alignment horizontal="center"/>
    </xf>
    <xf numFmtId="0" fontId="2" fillId="0" borderId="0" xfId="0" applyFont="1" applyAlignment="1">
      <alignment horizontal="center"/>
    </xf>
    <xf numFmtId="0" fontId="11" fillId="0" borderId="57" xfId="0" applyFont="1" applyBorder="1" applyAlignment="1">
      <alignment horizontal="left"/>
    </xf>
    <xf numFmtId="0" fontId="11" fillId="0" borderId="58" xfId="0" applyFont="1" applyBorder="1" applyAlignment="1">
      <alignment horizontal="left"/>
    </xf>
    <xf numFmtId="0" fontId="11" fillId="0" borderId="35" xfId="0" applyFont="1" applyBorder="1" applyAlignment="1">
      <alignment horizontal="left"/>
    </xf>
    <xf numFmtId="0" fontId="11" fillId="0" borderId="17" xfId="0" applyFont="1" applyBorder="1"/>
    <xf numFmtId="0" fontId="11" fillId="0" borderId="4" xfId="0" applyFont="1" applyBorder="1"/>
    <xf numFmtId="0" fontId="11" fillId="0" borderId="21" xfId="0" applyFont="1" applyBorder="1"/>
    <xf numFmtId="0" fontId="2" fillId="6" borderId="31" xfId="0" applyFont="1" applyFill="1" applyBorder="1"/>
    <xf numFmtId="0" fontId="6" fillId="6" borderId="42" xfId="0" applyFont="1" applyFill="1" applyBorder="1"/>
    <xf numFmtId="0" fontId="6" fillId="6" borderId="32" xfId="0" applyFont="1" applyFill="1" applyBorder="1"/>
    <xf numFmtId="0" fontId="22" fillId="6" borderId="44" xfId="0" applyFont="1" applyFill="1" applyBorder="1" applyAlignment="1">
      <alignment horizontal="center"/>
    </xf>
    <xf numFmtId="0" fontId="22" fillId="6" borderId="45" xfId="0" applyFont="1" applyFill="1" applyBorder="1" applyAlignment="1">
      <alignment horizontal="center"/>
    </xf>
    <xf numFmtId="0" fontId="22" fillId="6" borderId="41"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8</xdr:col>
      <xdr:colOff>635000</xdr:colOff>
      <xdr:row>66</xdr:row>
      <xdr:rowOff>238125</xdr:rowOff>
    </xdr:from>
    <xdr:to>
      <xdr:col>14</xdr:col>
      <xdr:colOff>606425</xdr:colOff>
      <xdr:row>96</xdr:row>
      <xdr:rowOff>117475</xdr:rowOff>
    </xdr:to>
    <xdr:pic>
      <xdr:nvPicPr>
        <xdr:cNvPr id="9245" name="Picture 1">
          <a:extLst>
            <a:ext uri="{FF2B5EF4-FFF2-40B4-BE49-F238E27FC236}">
              <a16:creationId xmlns:a16="http://schemas.microsoft.com/office/drawing/2014/main" id="{00000000-0008-0000-0900-00001D2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9906000" y="18430875"/>
          <a:ext cx="9766300" cy="7499350"/>
        </a:xfrm>
        <a:prstGeom prst="rect">
          <a:avLst/>
        </a:prstGeom>
        <a:noFill/>
        <a:ln w="1">
          <a:noFill/>
          <a:miter lim="800000"/>
          <a:headEnd/>
          <a:tailEnd/>
        </a:ln>
      </xdr:spPr>
    </xdr:pic>
    <xdr:clientData/>
  </xdr:twoCellAnchor>
  <xdr:twoCellAnchor editAs="oneCell">
    <xdr:from>
      <xdr:col>0</xdr:col>
      <xdr:colOff>0</xdr:colOff>
      <xdr:row>73</xdr:row>
      <xdr:rowOff>0</xdr:rowOff>
    </xdr:from>
    <xdr:to>
      <xdr:col>9</xdr:col>
      <xdr:colOff>415925</xdr:colOff>
      <xdr:row>102</xdr:row>
      <xdr:rowOff>133350</xdr:rowOff>
    </xdr:to>
    <xdr:pic>
      <xdr:nvPicPr>
        <xdr:cNvPr id="9246" name="Picture 2">
          <a:extLst>
            <a:ext uri="{FF2B5EF4-FFF2-40B4-BE49-F238E27FC236}">
              <a16:creationId xmlns:a16="http://schemas.microsoft.com/office/drawing/2014/main" id="{00000000-0008-0000-0900-00001E24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19821525"/>
          <a:ext cx="9753600" cy="7315200"/>
        </a:xfrm>
        <a:prstGeom prst="rect">
          <a:avLst/>
        </a:prstGeom>
        <a:noFill/>
        <a:ln w="1">
          <a:noFill/>
          <a:miter lim="800000"/>
          <a:headEnd/>
          <a:tailEnd/>
        </a:ln>
      </xdr:spPr>
    </xdr:pic>
    <xdr:clientData/>
  </xdr:twoCellAnchor>
  <xdr:twoCellAnchor editAs="oneCell">
    <xdr:from>
      <xdr:col>1</xdr:col>
      <xdr:colOff>0</xdr:colOff>
      <xdr:row>108</xdr:row>
      <xdr:rowOff>0</xdr:rowOff>
    </xdr:from>
    <xdr:to>
      <xdr:col>9</xdr:col>
      <xdr:colOff>996950</xdr:colOff>
      <xdr:row>137</xdr:row>
      <xdr:rowOff>133350</xdr:rowOff>
    </xdr:to>
    <xdr:pic>
      <xdr:nvPicPr>
        <xdr:cNvPr id="9247" name="Picture 3">
          <a:extLst>
            <a:ext uri="{FF2B5EF4-FFF2-40B4-BE49-F238E27FC236}">
              <a16:creationId xmlns:a16="http://schemas.microsoft.com/office/drawing/2014/main" id="{00000000-0008-0000-0900-00001F24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581025" y="28489275"/>
          <a:ext cx="9753600" cy="7315200"/>
        </a:xfrm>
        <a:prstGeom prst="rect">
          <a:avLst/>
        </a:prstGeom>
        <a:noFill/>
        <a:ln w="1">
          <a:noFill/>
          <a:miter lim="800000"/>
          <a:headEnd/>
          <a:tailEnd/>
        </a:ln>
      </xdr:spPr>
    </xdr:pic>
    <xdr:clientData/>
  </xdr:twoCellAnchor>
  <xdr:twoCellAnchor editAs="oneCell">
    <xdr:from>
      <xdr:col>1</xdr:col>
      <xdr:colOff>0</xdr:colOff>
      <xdr:row>138</xdr:row>
      <xdr:rowOff>0</xdr:rowOff>
    </xdr:from>
    <xdr:to>
      <xdr:col>9</xdr:col>
      <xdr:colOff>996950</xdr:colOff>
      <xdr:row>167</xdr:row>
      <xdr:rowOff>133350</xdr:rowOff>
    </xdr:to>
    <xdr:pic>
      <xdr:nvPicPr>
        <xdr:cNvPr id="9248" name="Picture 4">
          <a:extLst>
            <a:ext uri="{FF2B5EF4-FFF2-40B4-BE49-F238E27FC236}">
              <a16:creationId xmlns:a16="http://schemas.microsoft.com/office/drawing/2014/main" id="{00000000-0008-0000-0900-00002024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581025" y="35918775"/>
          <a:ext cx="9753600" cy="7315200"/>
        </a:xfrm>
        <a:prstGeom prst="rect">
          <a:avLst/>
        </a:prstGeom>
        <a:noFill/>
        <a:ln w="1">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18</xdr:col>
      <xdr:colOff>609600</xdr:colOff>
      <xdr:row>25</xdr:row>
      <xdr:rowOff>57150</xdr:rowOff>
    </xdr:to>
    <xdr:pic>
      <xdr:nvPicPr>
        <xdr:cNvPr id="13327" name="Picture 1">
          <a:extLst>
            <a:ext uri="{FF2B5EF4-FFF2-40B4-BE49-F238E27FC236}">
              <a16:creationId xmlns:a16="http://schemas.microsoft.com/office/drawing/2014/main" id="{00000000-0008-0000-0C00-00000F3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734300" y="257175"/>
          <a:ext cx="9753600" cy="7315200"/>
        </a:xfrm>
        <a:prstGeom prst="rect">
          <a:avLst/>
        </a:prstGeom>
        <a:noFill/>
        <a:ln w="1">
          <a:noFill/>
          <a:miter lim="800000"/>
          <a:headEnd/>
          <a:tailEnd/>
        </a:ln>
      </xdr:spPr>
    </xdr:pic>
    <xdr:clientData/>
  </xdr:twoCellAnchor>
  <xdr:twoCellAnchor editAs="oneCell">
    <xdr:from>
      <xdr:col>6</xdr:col>
      <xdr:colOff>0</xdr:colOff>
      <xdr:row>26</xdr:row>
      <xdr:rowOff>0</xdr:rowOff>
    </xdr:from>
    <xdr:to>
      <xdr:col>18</xdr:col>
      <xdr:colOff>609600</xdr:colOff>
      <xdr:row>54</xdr:row>
      <xdr:rowOff>38100</xdr:rowOff>
    </xdr:to>
    <xdr:pic>
      <xdr:nvPicPr>
        <xdr:cNvPr id="13328" name="Picture 2">
          <a:extLst>
            <a:ext uri="{FF2B5EF4-FFF2-40B4-BE49-F238E27FC236}">
              <a16:creationId xmlns:a16="http://schemas.microsoft.com/office/drawing/2014/main" id="{00000000-0008-0000-0C00-00001034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7734300" y="7839075"/>
          <a:ext cx="9753600" cy="7315200"/>
        </a:xfrm>
        <a:prstGeom prst="rect">
          <a:avLst/>
        </a:prstGeom>
        <a:noFill/>
        <a:ln w="1">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628650</xdr:colOff>
      <xdr:row>17</xdr:row>
      <xdr:rowOff>285750</xdr:rowOff>
    </xdr:from>
    <xdr:to>
      <xdr:col>13</xdr:col>
      <xdr:colOff>152400</xdr:colOff>
      <xdr:row>23</xdr:row>
      <xdr:rowOff>152400</xdr:rowOff>
    </xdr:to>
    <xdr:sp macro="" textlink="">
      <xdr:nvSpPr>
        <xdr:cNvPr id="2049" name="Text Box 1">
          <a:extLst>
            <a:ext uri="{FF2B5EF4-FFF2-40B4-BE49-F238E27FC236}">
              <a16:creationId xmlns:a16="http://schemas.microsoft.com/office/drawing/2014/main" id="{00000000-0008-0000-1300-000001080000}"/>
            </a:ext>
          </a:extLst>
        </xdr:cNvPr>
        <xdr:cNvSpPr txBox="1">
          <a:spLocks noChangeArrowheads="1"/>
        </xdr:cNvSpPr>
      </xdr:nvSpPr>
      <xdr:spPr bwMode="auto">
        <a:xfrm>
          <a:off x="10877550" y="5429250"/>
          <a:ext cx="2647950" cy="1752600"/>
        </a:xfrm>
        <a:prstGeom prst="rect">
          <a:avLst/>
        </a:prstGeom>
        <a:solidFill>
          <a:srgbClr val="FFFFFF"/>
        </a:solidFill>
        <a:ln w="38100">
          <a:solidFill>
            <a:srgbClr val="FF0000"/>
          </a:solidFill>
          <a:miter lim="800000"/>
          <a:headEnd/>
          <a:tailEnd/>
        </a:ln>
      </xdr:spPr>
      <xdr:txBody>
        <a:bodyPr vertOverflow="clip" wrap="square" lIns="27432" tIns="22860" rIns="0" bIns="0" anchor="t" upright="1"/>
        <a:lstStyle/>
        <a:p>
          <a:pPr algn="l" rtl="0">
            <a:lnSpc>
              <a:spcPts val="1900"/>
            </a:lnSpc>
            <a:defRPr sz="1000"/>
          </a:pPr>
          <a:r>
            <a:rPr lang="es-ES" sz="1800" b="1" i="0" u="none" strike="noStrike" baseline="0">
              <a:solidFill>
                <a:srgbClr val="000000"/>
              </a:solidFill>
              <a:latin typeface="Arial"/>
              <a:cs typeface="Arial"/>
            </a:rPr>
            <a:t>CAMBIAR GUIA DE ENTRADA A </a:t>
          </a:r>
          <a:r>
            <a:rPr lang="es-ES" sz="1800" b="1" i="0" u="sng" strike="noStrike" baseline="0">
              <a:solidFill>
                <a:srgbClr val="000000"/>
              </a:solidFill>
              <a:latin typeface="Arial"/>
              <a:cs typeface="Arial"/>
            </a:rPr>
            <a:t>CAJA 27</a:t>
          </a:r>
          <a:r>
            <a:rPr lang="es-ES" sz="1800" b="1" i="0" u="none" strike="noStrike" baseline="0">
              <a:solidFill>
                <a:srgbClr val="000000"/>
              </a:solidFill>
              <a:latin typeface="Arial"/>
              <a:cs typeface="Arial"/>
            </a:rPr>
            <a:t> CADA 200 TN DE LINEA PARA EVITAR NL, BARRAS CAIDAS ETC</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1266825</xdr:colOff>
      <xdr:row>31</xdr:row>
      <xdr:rowOff>142875</xdr:rowOff>
    </xdr:from>
    <xdr:to>
      <xdr:col>9</xdr:col>
      <xdr:colOff>342900</xdr:colOff>
      <xdr:row>38</xdr:row>
      <xdr:rowOff>171450</xdr:rowOff>
    </xdr:to>
    <xdr:sp macro="" textlink="">
      <xdr:nvSpPr>
        <xdr:cNvPr id="5132" name="Line 1">
          <a:extLst>
            <a:ext uri="{FF2B5EF4-FFF2-40B4-BE49-F238E27FC236}">
              <a16:creationId xmlns:a16="http://schemas.microsoft.com/office/drawing/2014/main" id="{00000000-0008-0000-1700-00000C140000}"/>
            </a:ext>
          </a:extLst>
        </xdr:cNvPr>
        <xdr:cNvSpPr>
          <a:spLocks noChangeShapeType="1"/>
        </xdr:cNvSpPr>
      </xdr:nvSpPr>
      <xdr:spPr bwMode="auto">
        <a:xfrm flipH="1" flipV="1">
          <a:off x="3562350" y="9467850"/>
          <a:ext cx="8001000" cy="1866900"/>
        </a:xfrm>
        <a:prstGeom prst="line">
          <a:avLst/>
        </a:prstGeom>
        <a:noFill/>
        <a:ln w="9525">
          <a:solidFill>
            <a:srgbClr val="000000"/>
          </a:solidFill>
          <a:round/>
          <a:headEnd/>
          <a:tailEnd type="triangle" w="med" len="me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171450</xdr:colOff>
      <xdr:row>15</xdr:row>
      <xdr:rowOff>123825</xdr:rowOff>
    </xdr:from>
    <xdr:to>
      <xdr:col>6</xdr:col>
      <xdr:colOff>1790700</xdr:colOff>
      <xdr:row>23</xdr:row>
      <xdr:rowOff>171450</xdr:rowOff>
    </xdr:to>
    <xdr:sp macro="" textlink="">
      <xdr:nvSpPr>
        <xdr:cNvPr id="3073" name="Text Box 1">
          <a:extLst>
            <a:ext uri="{FF2B5EF4-FFF2-40B4-BE49-F238E27FC236}">
              <a16:creationId xmlns:a16="http://schemas.microsoft.com/office/drawing/2014/main" id="{00000000-0008-0000-1800-0000010C0000}"/>
            </a:ext>
          </a:extLst>
        </xdr:cNvPr>
        <xdr:cNvSpPr txBox="1">
          <a:spLocks noChangeArrowheads="1"/>
        </xdr:cNvSpPr>
      </xdr:nvSpPr>
      <xdr:spPr bwMode="auto">
        <a:xfrm>
          <a:off x="6562725" y="4524375"/>
          <a:ext cx="3248025" cy="258127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s-ES" sz="1600" b="0" i="0" u="none" strike="noStrike" baseline="0">
              <a:solidFill>
                <a:srgbClr val="000000"/>
              </a:solidFill>
              <a:latin typeface="Arial"/>
              <a:cs typeface="Arial"/>
            </a:rPr>
            <a:t>Parece que hay alguna relacion entre area  no mayor de 62 y que no rompa. Si es posible laminar con el area minma de alimentacion desde el bloque, ajustando el tiro flojo,  cumpliendo logicamente los requisitos de ovalidad de neumaticos en Aluminun Clad</a:t>
          </a:r>
        </a:p>
      </xdr:txBody>
    </xdr:sp>
    <xdr:clientData/>
  </xdr:twoCellAnchor>
  <xdr:twoCellAnchor>
    <xdr:from>
      <xdr:col>2</xdr:col>
      <xdr:colOff>981075</xdr:colOff>
      <xdr:row>42</xdr:row>
      <xdr:rowOff>95250</xdr:rowOff>
    </xdr:from>
    <xdr:to>
      <xdr:col>3</xdr:col>
      <xdr:colOff>1171575</xdr:colOff>
      <xdr:row>43</xdr:row>
      <xdr:rowOff>247650</xdr:rowOff>
    </xdr:to>
    <xdr:sp macro="" textlink="">
      <xdr:nvSpPr>
        <xdr:cNvPr id="3074" name="Text Box 2">
          <a:extLst>
            <a:ext uri="{FF2B5EF4-FFF2-40B4-BE49-F238E27FC236}">
              <a16:creationId xmlns:a16="http://schemas.microsoft.com/office/drawing/2014/main" id="{00000000-0008-0000-1800-0000020C0000}"/>
            </a:ext>
          </a:extLst>
        </xdr:cNvPr>
        <xdr:cNvSpPr txBox="1">
          <a:spLocks noChangeArrowheads="1"/>
        </xdr:cNvSpPr>
      </xdr:nvSpPr>
      <xdr:spPr bwMode="auto">
        <a:xfrm>
          <a:off x="3324225" y="12534900"/>
          <a:ext cx="1943100" cy="419100"/>
        </a:xfrm>
        <a:prstGeom prst="rect">
          <a:avLst/>
        </a:prstGeom>
        <a:solidFill>
          <a:srgbClr val="FFFFFF"/>
        </a:solidFill>
        <a:ln w="9525">
          <a:solidFill>
            <a:srgbClr val="000000"/>
          </a:solidFill>
          <a:miter lim="800000"/>
          <a:headEnd/>
          <a:tailEnd/>
        </a:ln>
      </xdr:spPr>
      <xdr:txBody>
        <a:bodyPr vertOverflow="clip" wrap="square" lIns="45720" tIns="36576" rIns="0" bIns="0" anchor="t" upright="1"/>
        <a:lstStyle/>
        <a:p>
          <a:pPr algn="l" rtl="0">
            <a:defRPr sz="1000"/>
          </a:pPr>
          <a:r>
            <a:rPr lang="es-ES" sz="1800" b="1" i="0" u="none" strike="noStrike" baseline="0">
              <a:solidFill>
                <a:srgbClr val="000000"/>
              </a:solidFill>
              <a:latin typeface="Arial"/>
              <a:cs typeface="Arial"/>
            </a:rPr>
            <a:t>Luces nuevas</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rgb="FF92D050"/>
    <pageSetUpPr fitToPage="1"/>
  </sheetPr>
  <dimension ref="A1:E52"/>
  <sheetViews>
    <sheetView view="pageBreakPreview" zoomScale="55" zoomScaleNormal="100" zoomScaleSheetLayoutView="55" workbookViewId="0">
      <selection activeCell="B23" sqref="B23:D23"/>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39"/>
    </row>
    <row r="2" spans="1:5" ht="27.75" thickBot="1" x14ac:dyDescent="0.4">
      <c r="B2" s="211" t="s">
        <v>319</v>
      </c>
      <c r="C2" s="212"/>
      <c r="D2" s="213"/>
    </row>
    <row r="3" spans="1:5" x14ac:dyDescent="0.25">
      <c r="A3" s="1">
        <v>22</v>
      </c>
    </row>
    <row r="4" spans="1:5" x14ac:dyDescent="0.25">
      <c r="B4" s="214" t="s">
        <v>30</v>
      </c>
      <c r="C4" s="214"/>
      <c r="D4" s="214"/>
    </row>
    <row r="5" spans="1:5" ht="20.25" thickBot="1" x14ac:dyDescent="0.3"/>
    <row r="6" spans="1:5" x14ac:dyDescent="0.25">
      <c r="B6" s="221" t="s">
        <v>366</v>
      </c>
      <c r="C6" s="222"/>
      <c r="D6" s="134" t="s">
        <v>16</v>
      </c>
    </row>
    <row r="7" spans="1:5" ht="26.1" customHeight="1" x14ac:dyDescent="0.25">
      <c r="B7" s="215" t="s">
        <v>347</v>
      </c>
      <c r="C7" s="216"/>
      <c r="D7" s="135">
        <v>5</v>
      </c>
    </row>
    <row r="8" spans="1:5" ht="26.1" customHeight="1" x14ac:dyDescent="0.25">
      <c r="B8" s="219" t="s">
        <v>348</v>
      </c>
      <c r="C8" s="220"/>
      <c r="D8" s="135">
        <v>4</v>
      </c>
    </row>
    <row r="9" spans="1:5" ht="26.1" customHeight="1" x14ac:dyDescent="0.25">
      <c r="B9" s="219" t="s">
        <v>354</v>
      </c>
      <c r="C9" s="220"/>
      <c r="D9" s="135" t="s">
        <v>355</v>
      </c>
    </row>
    <row r="10" spans="1:5" ht="26.1" customHeight="1" thickBot="1" x14ac:dyDescent="0.3">
      <c r="B10" s="217" t="s">
        <v>349</v>
      </c>
      <c r="C10" s="218"/>
      <c r="D10" s="137" t="s">
        <v>353</v>
      </c>
    </row>
    <row r="11" spans="1:5" x14ac:dyDescent="0.25">
      <c r="D11" s="6"/>
    </row>
    <row r="12" spans="1:5" ht="26.1" customHeight="1" thickBot="1" x14ac:dyDescent="0.3">
      <c r="D12" s="6"/>
    </row>
    <row r="13" spans="1:5" ht="26.1" customHeight="1" thickBot="1" x14ac:dyDescent="0.3">
      <c r="B13" s="7" t="s">
        <v>20</v>
      </c>
      <c r="C13" s="124" t="s">
        <v>15</v>
      </c>
    </row>
    <row r="14" spans="1:5" ht="26.1" customHeight="1" x14ac:dyDescent="0.3">
      <c r="B14" s="48" t="s">
        <v>21</v>
      </c>
      <c r="C14" s="125">
        <v>1.65</v>
      </c>
    </row>
    <row r="15" spans="1:5" ht="26.1" customHeight="1" x14ac:dyDescent="0.3">
      <c r="B15" s="49" t="s">
        <v>22</v>
      </c>
      <c r="C15" s="125">
        <v>1.1000000000000001</v>
      </c>
    </row>
    <row r="16" spans="1:5" ht="25.5" customHeight="1" x14ac:dyDescent="0.3">
      <c r="B16" s="49" t="s">
        <v>23</v>
      </c>
      <c r="C16" s="125" t="s">
        <v>356</v>
      </c>
    </row>
    <row r="17" spans="2:4" ht="24.75" customHeight="1" thickBot="1" x14ac:dyDescent="0.35">
      <c r="B17" s="50" t="s">
        <v>24</v>
      </c>
      <c r="C17" s="127" t="s">
        <v>356</v>
      </c>
    </row>
    <row r="18" spans="2:4" ht="26.1" customHeight="1" x14ac:dyDescent="0.25">
      <c r="B18" s="209"/>
      <c r="C18" s="209"/>
      <c r="D18" s="29"/>
    </row>
    <row r="19" spans="2:4" ht="26.1" customHeight="1" x14ac:dyDescent="0.25">
      <c r="B19" s="210"/>
      <c r="C19" s="210"/>
      <c r="D19" s="210"/>
    </row>
    <row r="20" spans="2:4" ht="20.25" thickBot="1" x14ac:dyDescent="0.3">
      <c r="B20" s="210"/>
      <c r="C20" s="210"/>
      <c r="D20" s="210"/>
    </row>
    <row r="21" spans="2:4" ht="26.1" customHeight="1" thickBot="1" x14ac:dyDescent="0.35">
      <c r="B21" s="205" t="s">
        <v>25</v>
      </c>
      <c r="C21" s="206"/>
      <c r="D21" s="207"/>
    </row>
    <row r="22" spans="2:4" ht="26.1" customHeight="1" x14ac:dyDescent="0.35">
      <c r="B22" s="208" t="s">
        <v>177</v>
      </c>
      <c r="C22" s="208"/>
      <c r="D22" s="208"/>
    </row>
    <row r="23" spans="2:4" x14ac:dyDescent="0.25">
      <c r="B23" s="204" t="s">
        <v>350</v>
      </c>
      <c r="C23" s="204"/>
      <c r="D23" s="204"/>
    </row>
    <row r="24" spans="2:4" x14ac:dyDescent="0.25">
      <c r="B24" s="47" t="s">
        <v>364</v>
      </c>
      <c r="C24" s="47"/>
      <c r="D24" s="47"/>
    </row>
    <row r="25" spans="2:4" ht="26.1" customHeight="1" x14ac:dyDescent="0.25">
      <c r="B25" s="47" t="s">
        <v>365</v>
      </c>
      <c r="C25" s="47"/>
      <c r="D25" s="47"/>
    </row>
    <row r="26" spans="2:4" ht="26.1" customHeight="1" x14ac:dyDescent="0.25">
      <c r="B26" s="204" t="s">
        <v>351</v>
      </c>
      <c r="C26" s="204"/>
      <c r="D26" s="204"/>
    </row>
    <row r="27" spans="2:4" ht="26.1" customHeight="1" x14ac:dyDescent="0.25">
      <c r="B27" s="204" t="s">
        <v>352</v>
      </c>
      <c r="C27" s="204"/>
      <c r="D27" s="204"/>
    </row>
    <row r="28" spans="2:4" ht="26.1" customHeight="1" x14ac:dyDescent="0.25">
      <c r="B28" s="154" t="s">
        <v>210</v>
      </c>
      <c r="C28" s="154"/>
      <c r="D28" s="154"/>
    </row>
    <row r="29" spans="2:4" x14ac:dyDescent="0.25">
      <c r="B29" s="154" t="s">
        <v>211</v>
      </c>
      <c r="C29" s="154"/>
      <c r="D29" s="154"/>
    </row>
    <row r="30" spans="2:4" x14ac:dyDescent="0.25">
      <c r="B30" s="154" t="s">
        <v>214</v>
      </c>
      <c r="C30" s="154"/>
      <c r="D30" s="154"/>
    </row>
    <row r="31" spans="2:4" x14ac:dyDescent="0.25">
      <c r="B31" s="118"/>
      <c r="C31" s="118"/>
      <c r="D31" s="118"/>
    </row>
    <row r="32" spans="2:4" ht="23.25" customHeight="1" x14ac:dyDescent="0.25">
      <c r="B32" s="118"/>
      <c r="C32" s="118"/>
      <c r="D32" s="118"/>
    </row>
    <row r="33" spans="2:4" x14ac:dyDescent="0.25">
      <c r="B33" s="118"/>
      <c r="C33" s="118"/>
      <c r="D33" s="118"/>
    </row>
    <row r="34" spans="2:4" x14ac:dyDescent="0.25">
      <c r="B34" s="118"/>
      <c r="C34" s="118"/>
      <c r="D34" s="118"/>
    </row>
    <row r="35" spans="2:4" x14ac:dyDescent="0.25">
      <c r="B35" s="118"/>
      <c r="C35" s="118"/>
      <c r="D35" s="118"/>
    </row>
    <row r="36" spans="2:4" x14ac:dyDescent="0.25">
      <c r="B36" s="203"/>
      <c r="C36" s="203"/>
      <c r="D36" s="203"/>
    </row>
    <row r="38" spans="2:4" x14ac:dyDescent="0.25">
      <c r="B38" s="202"/>
      <c r="C38" s="202"/>
      <c r="D38" s="202"/>
    </row>
    <row r="39" spans="2:4" x14ac:dyDescent="0.25">
      <c r="B39" s="202"/>
      <c r="C39" s="202"/>
      <c r="D39" s="202"/>
    </row>
    <row r="40" spans="2:4" x14ac:dyDescent="0.25">
      <c r="B40" s="202"/>
      <c r="C40" s="202"/>
      <c r="D40" s="202"/>
    </row>
    <row r="41" spans="2:4" ht="23.25" x14ac:dyDescent="0.35">
      <c r="B41" s="44" t="s">
        <v>177</v>
      </c>
    </row>
    <row r="42" spans="2:4" ht="23.25" x14ac:dyDescent="0.35">
      <c r="B42" s="44" t="s">
        <v>178</v>
      </c>
    </row>
    <row r="43" spans="2:4" ht="23.25" x14ac:dyDescent="0.35">
      <c r="B43" s="44" t="s">
        <v>203</v>
      </c>
    </row>
    <row r="44" spans="2:4" ht="23.25" x14ac:dyDescent="0.35">
      <c r="B44" s="44" t="s">
        <v>179</v>
      </c>
    </row>
    <row r="45" spans="2:4" ht="23.25" x14ac:dyDescent="0.35">
      <c r="B45" s="44" t="s">
        <v>195</v>
      </c>
    </row>
    <row r="46" spans="2:4" ht="23.25" x14ac:dyDescent="0.35">
      <c r="B46" s="44" t="s">
        <v>180</v>
      </c>
    </row>
    <row r="47" spans="2:4" ht="23.25" x14ac:dyDescent="0.35">
      <c r="B47" s="44" t="s">
        <v>181</v>
      </c>
    </row>
    <row r="48" spans="2:4" ht="23.25" x14ac:dyDescent="0.35">
      <c r="B48" s="44" t="s">
        <v>182</v>
      </c>
    </row>
    <row r="49" spans="2:2" ht="23.25" x14ac:dyDescent="0.35">
      <c r="B49" s="44" t="s">
        <v>183</v>
      </c>
    </row>
    <row r="50" spans="2:2" ht="23.25" x14ac:dyDescent="0.35">
      <c r="B50" s="44" t="s">
        <v>184</v>
      </c>
    </row>
    <row r="51" spans="2:2" ht="23.25" x14ac:dyDescent="0.35">
      <c r="B51" s="44" t="s">
        <v>185</v>
      </c>
    </row>
    <row r="52" spans="2:2" ht="23.25" x14ac:dyDescent="0.35">
      <c r="B52" s="44" t="s">
        <v>186</v>
      </c>
    </row>
  </sheetData>
  <mergeCells count="19">
    <mergeCell ref="B2:D2"/>
    <mergeCell ref="B4:D4"/>
    <mergeCell ref="B7:C7"/>
    <mergeCell ref="B10:C10"/>
    <mergeCell ref="B8:C8"/>
    <mergeCell ref="B9:C9"/>
    <mergeCell ref="B6:C6"/>
    <mergeCell ref="B21:D21"/>
    <mergeCell ref="B22:D22"/>
    <mergeCell ref="B26:D26"/>
    <mergeCell ref="B18:C18"/>
    <mergeCell ref="B19:D19"/>
    <mergeCell ref="B20:D20"/>
    <mergeCell ref="B23:D23"/>
    <mergeCell ref="B40:D40"/>
    <mergeCell ref="B36:D36"/>
    <mergeCell ref="B38:D38"/>
    <mergeCell ref="B39:D39"/>
    <mergeCell ref="B27:D27"/>
  </mergeCells>
  <pageMargins left="0.75" right="0.75" top="1" bottom="1" header="0" footer="0"/>
  <pageSetup paperSize="9" scale="84" orientation="portrait" r:id="rId1"/>
  <headerFooter alignWithMargins="0">
    <oddHeader>&amp;L&amp;"Tahoma,Negrita"&amp;12   &amp;G
&amp;R&amp;"Tahoma,Negrita"&amp;12
Tren de Alambrón
Gijón</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tabColor rgb="FF92D050"/>
    <pageSetUpPr fitToPage="1"/>
  </sheetPr>
  <dimension ref="A1:J56"/>
  <sheetViews>
    <sheetView view="pageBreakPreview" zoomScale="40" zoomScaleNormal="100" zoomScaleSheetLayoutView="40" workbookViewId="0">
      <selection activeCell="B23" sqref="B23:D23"/>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7" width="11.42578125" style="1"/>
    <col min="8" max="8" width="28" style="1" customWidth="1"/>
    <col min="9" max="9" width="22.42578125" style="1" customWidth="1"/>
    <col min="10" max="10" width="33.28515625" style="1" bestFit="1" customWidth="1"/>
    <col min="11" max="16384" width="11.42578125" style="1"/>
  </cols>
  <sheetData>
    <row r="1" spans="1:10" ht="20.25" thickBot="1" x14ac:dyDescent="0.3">
      <c r="E1" s="39"/>
    </row>
    <row r="2" spans="1:10" ht="27.75" thickBot="1" x14ac:dyDescent="0.4">
      <c r="B2" s="211" t="s">
        <v>174</v>
      </c>
      <c r="C2" s="212"/>
      <c r="D2" s="213"/>
      <c r="H2" s="211" t="s">
        <v>174</v>
      </c>
      <c r="I2" s="212"/>
      <c r="J2" s="213"/>
    </row>
    <row r="4" spans="1:10" x14ac:dyDescent="0.25">
      <c r="A4" s="1">
        <v>21</v>
      </c>
      <c r="B4" s="214" t="s">
        <v>30</v>
      </c>
      <c r="C4" s="214"/>
      <c r="D4" s="214"/>
      <c r="H4" s="214" t="s">
        <v>30</v>
      </c>
      <c r="I4" s="214"/>
      <c r="J4" s="214"/>
    </row>
    <row r="5" spans="1:10" ht="20.25" thickBot="1" x14ac:dyDescent="0.3"/>
    <row r="6" spans="1:10" ht="20.25" thickBot="1" x14ac:dyDescent="0.3">
      <c r="B6" s="2" t="s">
        <v>175</v>
      </c>
      <c r="C6" s="3"/>
      <c r="D6" s="4" t="s">
        <v>16</v>
      </c>
      <c r="H6" s="221" t="s">
        <v>3</v>
      </c>
      <c r="I6" s="222"/>
      <c r="J6" s="134" t="s">
        <v>16</v>
      </c>
    </row>
    <row r="7" spans="1:10" ht="26.1" customHeight="1" thickBot="1" x14ac:dyDescent="0.3">
      <c r="B7" s="227" t="s">
        <v>176</v>
      </c>
      <c r="C7" s="228"/>
      <c r="D7" s="18" t="s">
        <v>202</v>
      </c>
      <c r="H7" s="215" t="s">
        <v>347</v>
      </c>
      <c r="I7" s="216"/>
      <c r="J7" s="135">
        <v>4</v>
      </c>
    </row>
    <row r="8" spans="1:10" ht="26.1" customHeight="1" thickBot="1" x14ac:dyDescent="0.3">
      <c r="B8" s="227"/>
      <c r="C8" s="228"/>
      <c r="D8" s="18" t="s">
        <v>283</v>
      </c>
      <c r="H8" s="219" t="s">
        <v>348</v>
      </c>
      <c r="I8" s="220"/>
      <c r="J8" s="135">
        <v>3</v>
      </c>
    </row>
    <row r="9" spans="1:10" ht="24" thickBot="1" x14ac:dyDescent="0.3">
      <c r="D9" s="6"/>
      <c r="H9" s="219" t="s">
        <v>354</v>
      </c>
      <c r="I9" s="220"/>
      <c r="J9" s="135"/>
    </row>
    <row r="10" spans="1:10" ht="24" thickBot="1" x14ac:dyDescent="0.35">
      <c r="B10" s="7" t="s">
        <v>29</v>
      </c>
      <c r="C10" s="46"/>
      <c r="D10" s="9" t="s">
        <v>16</v>
      </c>
      <c r="H10" s="217" t="s">
        <v>349</v>
      </c>
      <c r="I10" s="218"/>
      <c r="J10" s="137" t="s">
        <v>346</v>
      </c>
    </row>
    <row r="11" spans="1:10" ht="26.1" customHeight="1" x14ac:dyDescent="0.25">
      <c r="B11" s="229" t="s">
        <v>17</v>
      </c>
      <c r="C11" s="230"/>
      <c r="D11" s="52">
        <v>752</v>
      </c>
      <c r="J11" s="6"/>
    </row>
    <row r="12" spans="1:10" ht="26.1" customHeight="1" x14ac:dyDescent="0.25">
      <c r="B12" s="215" t="s">
        <v>28</v>
      </c>
      <c r="C12" s="216"/>
      <c r="D12" s="52"/>
      <c r="H12" s="226" t="s">
        <v>325</v>
      </c>
      <c r="I12" s="226"/>
      <c r="J12" s="226"/>
    </row>
    <row r="13" spans="1:10" ht="26.1" customHeight="1" thickBot="1" x14ac:dyDescent="0.3">
      <c r="B13" s="215"/>
      <c r="C13" s="216"/>
      <c r="D13" s="53"/>
      <c r="J13" s="6"/>
    </row>
    <row r="14" spans="1:10" ht="26.1" customHeight="1" x14ac:dyDescent="0.25">
      <c r="B14" s="215" t="s">
        <v>18</v>
      </c>
      <c r="C14" s="216"/>
      <c r="D14" s="54"/>
      <c r="H14" s="132" t="s">
        <v>20</v>
      </c>
      <c r="I14" s="142" t="s">
        <v>15</v>
      </c>
    </row>
    <row r="15" spans="1:10" ht="26.1" customHeight="1" thickBot="1" x14ac:dyDescent="0.3">
      <c r="B15" s="232" t="s">
        <v>19</v>
      </c>
      <c r="C15" s="233"/>
      <c r="D15" s="55">
        <v>10</v>
      </c>
      <c r="H15" s="49" t="s">
        <v>21</v>
      </c>
      <c r="I15" s="135">
        <v>1.55</v>
      </c>
    </row>
    <row r="16" spans="1:10" ht="26.1" customHeight="1" thickBot="1" x14ac:dyDescent="0.3">
      <c r="D16" s="6"/>
      <c r="H16" s="49" t="s">
        <v>22</v>
      </c>
      <c r="I16" s="135">
        <v>1.3</v>
      </c>
    </row>
    <row r="17" spans="2:10" ht="26.1" customHeight="1" thickBot="1" x14ac:dyDescent="0.3">
      <c r="B17" s="7" t="s">
        <v>20</v>
      </c>
      <c r="C17" s="14" t="s">
        <v>15</v>
      </c>
      <c r="D17" s="9" t="s">
        <v>16</v>
      </c>
      <c r="H17" s="49" t="s">
        <v>23</v>
      </c>
      <c r="I17" s="135">
        <v>1.4</v>
      </c>
    </row>
    <row r="18" spans="2:10" ht="26.1" customHeight="1" thickBot="1" x14ac:dyDescent="0.35">
      <c r="B18" s="48" t="s">
        <v>21</v>
      </c>
      <c r="C18" s="41">
        <v>1.55</v>
      </c>
      <c r="D18" s="18"/>
      <c r="H18" s="50" t="s">
        <v>24</v>
      </c>
      <c r="I18" s="137">
        <v>1.3</v>
      </c>
    </row>
    <row r="19" spans="2:10" ht="26.1" customHeight="1" thickBot="1" x14ac:dyDescent="0.35">
      <c r="B19" s="49" t="s">
        <v>22</v>
      </c>
      <c r="C19" s="41">
        <v>1.3</v>
      </c>
      <c r="D19" s="18"/>
      <c r="H19" s="129"/>
      <c r="I19" s="130"/>
      <c r="J19" s="6"/>
    </row>
    <row r="20" spans="2:10" ht="26.1" customHeight="1" thickBot="1" x14ac:dyDescent="0.35">
      <c r="B20" s="49" t="s">
        <v>23</v>
      </c>
      <c r="C20" s="41">
        <v>1.4</v>
      </c>
      <c r="D20" s="18"/>
      <c r="H20" s="226" t="s">
        <v>324</v>
      </c>
      <c r="I20" s="226"/>
      <c r="J20" s="226"/>
    </row>
    <row r="21" spans="2:10" ht="24" thickBot="1" x14ac:dyDescent="0.35">
      <c r="B21" s="50" t="s">
        <v>24</v>
      </c>
      <c r="C21" s="51">
        <v>1.3</v>
      </c>
      <c r="D21" s="18"/>
      <c r="I21" s="131"/>
      <c r="J21" s="6"/>
    </row>
    <row r="22" spans="2:10" ht="26.1" customHeight="1" thickBot="1" x14ac:dyDescent="0.3">
      <c r="B22" s="209"/>
      <c r="C22" s="209"/>
      <c r="D22" s="29"/>
      <c r="J22" s="6"/>
    </row>
    <row r="23" spans="2:10" ht="26.1" customHeight="1" x14ac:dyDescent="0.25">
      <c r="B23" s="210"/>
      <c r="C23" s="210"/>
      <c r="D23" s="210"/>
      <c r="H23" s="132" t="s">
        <v>20</v>
      </c>
      <c r="I23" s="142" t="s">
        <v>15</v>
      </c>
    </row>
    <row r="24" spans="2:10" ht="24" thickBot="1" x14ac:dyDescent="0.3">
      <c r="B24" s="210"/>
      <c r="C24" s="210"/>
      <c r="D24" s="210"/>
      <c r="H24" s="49" t="s">
        <v>21</v>
      </c>
      <c r="I24" s="135">
        <v>1.45</v>
      </c>
    </row>
    <row r="25" spans="2:10" ht="26.1" customHeight="1" thickBot="1" x14ac:dyDescent="0.35">
      <c r="B25" s="205" t="s">
        <v>25</v>
      </c>
      <c r="C25" s="206"/>
      <c r="D25" s="207"/>
      <c r="H25" s="49" t="s">
        <v>22</v>
      </c>
      <c r="I25" s="135">
        <v>1.1000000000000001</v>
      </c>
    </row>
    <row r="26" spans="2:10" ht="26.1" customHeight="1" x14ac:dyDescent="0.35">
      <c r="B26" s="208" t="s">
        <v>177</v>
      </c>
      <c r="C26" s="208"/>
      <c r="D26" s="208"/>
      <c r="H26" s="49" t="s">
        <v>23</v>
      </c>
      <c r="I26" s="135" t="s">
        <v>356</v>
      </c>
    </row>
    <row r="27" spans="2:10" ht="24" thickBot="1" x14ac:dyDescent="0.3">
      <c r="B27" s="231" t="s">
        <v>204</v>
      </c>
      <c r="C27" s="231"/>
      <c r="D27" s="231"/>
      <c r="H27" s="50" t="s">
        <v>24</v>
      </c>
      <c r="I27" s="137" t="s">
        <v>356</v>
      </c>
    </row>
    <row r="28" spans="2:10" ht="20.25" thickBot="1" x14ac:dyDescent="0.3">
      <c r="B28" s="231" t="s">
        <v>205</v>
      </c>
      <c r="C28" s="231"/>
      <c r="D28" s="231"/>
    </row>
    <row r="29" spans="2:10" ht="26.1" customHeight="1" thickBot="1" x14ac:dyDescent="0.35">
      <c r="B29" s="231" t="s">
        <v>206</v>
      </c>
      <c r="C29" s="231"/>
      <c r="D29" s="231"/>
      <c r="H29" s="223" t="s">
        <v>25</v>
      </c>
      <c r="I29" s="224"/>
      <c r="J29" s="225"/>
    </row>
    <row r="30" spans="2:10" ht="26.1" customHeight="1" x14ac:dyDescent="0.25">
      <c r="B30" s="231" t="s">
        <v>207</v>
      </c>
      <c r="C30" s="231"/>
      <c r="D30" s="231"/>
      <c r="H30" s="204" t="s">
        <v>350</v>
      </c>
      <c r="I30" s="204"/>
      <c r="J30" s="204"/>
    </row>
    <row r="31" spans="2:10" ht="26.1" customHeight="1" x14ac:dyDescent="0.25">
      <c r="B31" s="231" t="s">
        <v>208</v>
      </c>
      <c r="C31" s="231"/>
      <c r="D31" s="231"/>
      <c r="H31" s="47" t="s">
        <v>364</v>
      </c>
      <c r="I31" s="47"/>
      <c r="J31" s="47"/>
    </row>
    <row r="32" spans="2:10" ht="26.1" customHeight="1" x14ac:dyDescent="0.25">
      <c r="B32" s="231" t="s">
        <v>209</v>
      </c>
      <c r="C32" s="231"/>
      <c r="D32" s="231"/>
      <c r="H32" s="47" t="s">
        <v>365</v>
      </c>
      <c r="I32" s="47"/>
      <c r="J32" s="47"/>
    </row>
    <row r="33" spans="2:10" x14ac:dyDescent="0.25">
      <c r="B33" s="231" t="s">
        <v>210</v>
      </c>
      <c r="C33" s="231"/>
      <c r="D33" s="231"/>
      <c r="H33" s="204" t="s">
        <v>351</v>
      </c>
      <c r="I33" s="204"/>
      <c r="J33" s="204"/>
    </row>
    <row r="34" spans="2:10" x14ac:dyDescent="0.25">
      <c r="B34" s="231" t="s">
        <v>211</v>
      </c>
      <c r="C34" s="231"/>
      <c r="D34" s="231"/>
      <c r="H34" s="204" t="s">
        <v>352</v>
      </c>
      <c r="I34" s="204"/>
      <c r="J34" s="204"/>
    </row>
    <row r="35" spans="2:10" x14ac:dyDescent="0.25">
      <c r="B35" s="231" t="s">
        <v>212</v>
      </c>
      <c r="C35" s="231"/>
      <c r="D35" s="231"/>
      <c r="H35" s="154" t="s">
        <v>210</v>
      </c>
      <c r="I35" s="154"/>
      <c r="J35" s="154"/>
    </row>
    <row r="36" spans="2:10" ht="23.25" customHeight="1" x14ac:dyDescent="0.25">
      <c r="B36" s="231" t="s">
        <v>213</v>
      </c>
      <c r="C36" s="231"/>
      <c r="D36" s="231"/>
      <c r="H36" s="154" t="s">
        <v>211</v>
      </c>
      <c r="I36" s="154"/>
      <c r="J36" s="154"/>
    </row>
    <row r="37" spans="2:10" x14ac:dyDescent="0.25">
      <c r="B37" s="231" t="s">
        <v>214</v>
      </c>
      <c r="C37" s="231"/>
      <c r="D37" s="231"/>
      <c r="H37" s="154" t="s">
        <v>214</v>
      </c>
      <c r="I37" s="154"/>
      <c r="J37" s="154"/>
    </row>
    <row r="38" spans="2:10" x14ac:dyDescent="0.25">
      <c r="B38" s="203"/>
      <c r="C38" s="203"/>
      <c r="D38" s="203"/>
      <c r="H38" s="204"/>
      <c r="I38" s="204"/>
      <c r="J38" s="204"/>
    </row>
    <row r="39" spans="2:10" x14ac:dyDescent="0.25">
      <c r="B39" s="203"/>
      <c r="C39" s="203"/>
      <c r="D39" s="203"/>
      <c r="H39" s="204"/>
      <c r="I39" s="204"/>
      <c r="J39" s="204"/>
    </row>
    <row r="40" spans="2:10" x14ac:dyDescent="0.25">
      <c r="B40" s="203"/>
      <c r="C40" s="203"/>
      <c r="D40" s="203"/>
      <c r="H40" s="204"/>
      <c r="I40" s="204"/>
      <c r="J40" s="204"/>
    </row>
    <row r="42" spans="2:10" x14ac:dyDescent="0.25">
      <c r="B42" s="202"/>
      <c r="C42" s="202"/>
      <c r="D42" s="202"/>
    </row>
    <row r="43" spans="2:10" x14ac:dyDescent="0.25">
      <c r="B43" s="202"/>
      <c r="C43" s="202"/>
      <c r="D43" s="202"/>
    </row>
    <row r="44" spans="2:10" x14ac:dyDescent="0.25">
      <c r="B44" s="202"/>
      <c r="C44" s="202"/>
      <c r="D44" s="202"/>
    </row>
    <row r="45" spans="2:10" ht="23.25" x14ac:dyDescent="0.35">
      <c r="B45" s="44" t="s">
        <v>177</v>
      </c>
    </row>
    <row r="46" spans="2:10" ht="23.25" x14ac:dyDescent="0.35">
      <c r="B46" s="44" t="s">
        <v>178</v>
      </c>
    </row>
    <row r="47" spans="2:10" ht="23.25" x14ac:dyDescent="0.35">
      <c r="B47" s="44" t="s">
        <v>203</v>
      </c>
    </row>
    <row r="48" spans="2:10" ht="23.25" x14ac:dyDescent="0.35">
      <c r="B48" s="44" t="s">
        <v>179</v>
      </c>
    </row>
    <row r="49" spans="2:2" ht="23.25" x14ac:dyDescent="0.35">
      <c r="B49" s="44" t="s">
        <v>195</v>
      </c>
    </row>
    <row r="50" spans="2:2" ht="23.25" x14ac:dyDescent="0.35">
      <c r="B50" s="44" t="s">
        <v>180</v>
      </c>
    </row>
    <row r="51" spans="2:2" ht="23.25" x14ac:dyDescent="0.35">
      <c r="B51" s="44" t="s">
        <v>181</v>
      </c>
    </row>
    <row r="52" spans="2:2" ht="23.25" x14ac:dyDescent="0.35">
      <c r="B52" s="44" t="s">
        <v>182</v>
      </c>
    </row>
    <row r="53" spans="2:2" ht="23.25" x14ac:dyDescent="0.35">
      <c r="B53" s="44" t="s">
        <v>183</v>
      </c>
    </row>
    <row r="54" spans="2:2" ht="23.25" x14ac:dyDescent="0.35">
      <c r="B54" s="44" t="s">
        <v>184</v>
      </c>
    </row>
    <row r="55" spans="2:2" ht="23.25" x14ac:dyDescent="0.35">
      <c r="B55" s="44" t="s">
        <v>185</v>
      </c>
    </row>
    <row r="56" spans="2:2" ht="23.25" x14ac:dyDescent="0.35">
      <c r="B56" s="44" t="s">
        <v>186</v>
      </c>
    </row>
  </sheetData>
  <mergeCells count="47">
    <mergeCell ref="B44:D44"/>
    <mergeCell ref="B40:D40"/>
    <mergeCell ref="B35:D35"/>
    <mergeCell ref="B36:D36"/>
    <mergeCell ref="B38:D38"/>
    <mergeCell ref="B39:D39"/>
    <mergeCell ref="B42:D42"/>
    <mergeCell ref="B43:D43"/>
    <mergeCell ref="B14:C14"/>
    <mergeCell ref="B37:D37"/>
    <mergeCell ref="B34:D34"/>
    <mergeCell ref="B22:C22"/>
    <mergeCell ref="B26:D26"/>
    <mergeCell ref="B27:D27"/>
    <mergeCell ref="B28:D28"/>
    <mergeCell ref="B33:D33"/>
    <mergeCell ref="B23:D23"/>
    <mergeCell ref="B24:D24"/>
    <mergeCell ref="B15:C15"/>
    <mergeCell ref="B29:D29"/>
    <mergeCell ref="B32:D32"/>
    <mergeCell ref="B25:D25"/>
    <mergeCell ref="B30:D30"/>
    <mergeCell ref="B31:D31"/>
    <mergeCell ref="B13:C13"/>
    <mergeCell ref="B2:D2"/>
    <mergeCell ref="B4:D4"/>
    <mergeCell ref="B7:C7"/>
    <mergeCell ref="B8:C8"/>
    <mergeCell ref="B11:C11"/>
    <mergeCell ref="B12:C12"/>
    <mergeCell ref="H29:J29"/>
    <mergeCell ref="H30:J30"/>
    <mergeCell ref="H2:J2"/>
    <mergeCell ref="H4:J4"/>
    <mergeCell ref="H12:J12"/>
    <mergeCell ref="H7:I7"/>
    <mergeCell ref="H20:J20"/>
    <mergeCell ref="H8:I8"/>
    <mergeCell ref="H9:I9"/>
    <mergeCell ref="H10:I10"/>
    <mergeCell ref="H6:I6"/>
    <mergeCell ref="H38:J38"/>
    <mergeCell ref="H39:J39"/>
    <mergeCell ref="H40:J40"/>
    <mergeCell ref="H33:J33"/>
    <mergeCell ref="H34:J34"/>
  </mergeCells>
  <phoneticPr fontId="17" type="noConversion"/>
  <pageMargins left="0.74803149606299213" right="0.74803149606299213" top="0.98425196850393704" bottom="0.98425196850393704" header="0" footer="0"/>
  <pageSetup paperSize="9" scale="79" orientation="portrait" r:id="rId1"/>
  <headerFooter alignWithMargins="0">
    <oddHeader>&amp;L&amp;"Tahoma,Negrita"&amp;12   &amp;G
&amp;R&amp;"Tahoma,Negrita"&amp;12
Tren de Alambrón
Gijón</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tabColor rgb="FF92D050"/>
    <pageSetUpPr fitToPage="1"/>
  </sheetPr>
  <dimension ref="A1:J49"/>
  <sheetViews>
    <sheetView view="pageBreakPreview" zoomScale="40" zoomScaleNormal="100" zoomScaleSheetLayoutView="40" workbookViewId="0">
      <selection activeCell="I30" sqref="I30:J35"/>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7" width="11.42578125" style="1"/>
    <col min="8" max="8" width="35" style="1" customWidth="1"/>
    <col min="9" max="9" width="24.7109375" style="1" customWidth="1"/>
    <col min="10" max="10" width="33.28515625" style="1" bestFit="1" customWidth="1"/>
    <col min="11" max="16384" width="11.42578125" style="1"/>
  </cols>
  <sheetData>
    <row r="1" spans="1:10" ht="20.25" thickBot="1" x14ac:dyDescent="0.3">
      <c r="E1" s="39"/>
    </row>
    <row r="2" spans="1:10" ht="27.75" thickBot="1" x14ac:dyDescent="0.4">
      <c r="B2" s="211" t="s">
        <v>318</v>
      </c>
      <c r="C2" s="212"/>
      <c r="D2" s="213"/>
      <c r="H2" s="211" t="s">
        <v>318</v>
      </c>
      <c r="I2" s="212"/>
      <c r="J2" s="213"/>
    </row>
    <row r="4" spans="1:10" x14ac:dyDescent="0.25">
      <c r="B4" s="214" t="s">
        <v>30</v>
      </c>
      <c r="C4" s="214"/>
      <c r="D4" s="214"/>
      <c r="H4" s="214" t="s">
        <v>30</v>
      </c>
      <c r="I4" s="214"/>
      <c r="J4" s="214"/>
    </row>
    <row r="5" spans="1:10" ht="20.25" thickBot="1" x14ac:dyDescent="0.3">
      <c r="A5" s="1">
        <v>20</v>
      </c>
    </row>
    <row r="6" spans="1:10" ht="25.5" customHeight="1" thickBot="1" x14ac:dyDescent="0.3">
      <c r="B6" s="2" t="s">
        <v>3</v>
      </c>
      <c r="C6" s="3"/>
      <c r="D6" s="4" t="s">
        <v>16</v>
      </c>
      <c r="H6" s="221" t="s">
        <v>3</v>
      </c>
      <c r="I6" s="222"/>
      <c r="J6" s="134" t="s">
        <v>16</v>
      </c>
    </row>
    <row r="7" spans="1:10" ht="26.1" customHeight="1" thickBot="1" x14ac:dyDescent="0.3">
      <c r="B7" s="227" t="s">
        <v>192</v>
      </c>
      <c r="C7" s="228"/>
      <c r="D7" s="18" t="s">
        <v>194</v>
      </c>
      <c r="H7" s="215" t="s">
        <v>360</v>
      </c>
      <c r="I7" s="216"/>
      <c r="J7" s="135">
        <v>5</v>
      </c>
    </row>
    <row r="8" spans="1:10" ht="26.1" customHeight="1" thickBot="1" x14ac:dyDescent="0.3">
      <c r="B8" s="227" t="s">
        <v>193</v>
      </c>
      <c r="C8" s="228"/>
      <c r="D8" s="18" t="s">
        <v>282</v>
      </c>
      <c r="H8" s="219" t="s">
        <v>361</v>
      </c>
      <c r="I8" s="220"/>
      <c r="J8" s="135">
        <v>4</v>
      </c>
    </row>
    <row r="9" spans="1:10" ht="24" thickBot="1" x14ac:dyDescent="0.3">
      <c r="D9" s="6"/>
      <c r="H9" s="219" t="s">
        <v>362</v>
      </c>
      <c r="I9" s="220"/>
      <c r="J9" s="135" t="s">
        <v>357</v>
      </c>
    </row>
    <row r="10" spans="1:10" ht="24" thickBot="1" x14ac:dyDescent="0.3">
      <c r="B10" s="7" t="s">
        <v>4</v>
      </c>
      <c r="C10" s="8" t="s">
        <v>15</v>
      </c>
      <c r="D10" s="9" t="s">
        <v>16</v>
      </c>
      <c r="H10" s="217" t="s">
        <v>363</v>
      </c>
      <c r="I10" s="218"/>
      <c r="J10" s="137" t="s">
        <v>345</v>
      </c>
    </row>
    <row r="11" spans="1:10" ht="26.1" customHeight="1" thickBot="1" x14ac:dyDescent="0.3">
      <c r="B11" s="15" t="s">
        <v>5</v>
      </c>
      <c r="C11" s="18"/>
      <c r="D11" s="11"/>
      <c r="J11" s="6"/>
    </row>
    <row r="12" spans="1:10" ht="26.1" customHeight="1" thickBot="1" x14ac:dyDescent="0.3">
      <c r="B12" s="15" t="s">
        <v>6</v>
      </c>
      <c r="C12" s="18"/>
      <c r="D12" s="30"/>
      <c r="H12" s="226" t="s">
        <v>325</v>
      </c>
      <c r="I12" s="226"/>
      <c r="J12" s="226"/>
    </row>
    <row r="13" spans="1:10" ht="26.1" customHeight="1" thickBot="1" x14ac:dyDescent="0.3">
      <c r="B13" s="15" t="s">
        <v>7</v>
      </c>
      <c r="C13" s="18"/>
      <c r="D13" s="30" t="s">
        <v>316</v>
      </c>
      <c r="J13" s="6"/>
    </row>
    <row r="14" spans="1:10" ht="26.1" customHeight="1" thickBot="1" x14ac:dyDescent="0.3">
      <c r="B14" s="15" t="s">
        <v>8</v>
      </c>
      <c r="C14" s="18"/>
      <c r="D14" s="30"/>
      <c r="H14" s="132" t="s">
        <v>20</v>
      </c>
      <c r="I14" s="142" t="s">
        <v>15</v>
      </c>
    </row>
    <row r="15" spans="1:10" ht="26.1" customHeight="1" thickBot="1" x14ac:dyDescent="0.3">
      <c r="B15" s="15" t="s">
        <v>9</v>
      </c>
      <c r="C15" s="18"/>
      <c r="D15" s="30"/>
      <c r="H15" s="49" t="s">
        <v>21</v>
      </c>
      <c r="I15" s="135">
        <v>1.4</v>
      </c>
    </row>
    <row r="16" spans="1:10" ht="26.1" customHeight="1" thickBot="1" x14ac:dyDescent="0.3">
      <c r="B16" s="15" t="s">
        <v>10</v>
      </c>
      <c r="C16" s="18"/>
      <c r="D16" s="30"/>
      <c r="H16" s="49" t="s">
        <v>22</v>
      </c>
      <c r="I16" s="135">
        <v>1.35</v>
      </c>
    </row>
    <row r="17" spans="2:10" ht="26.1" customHeight="1" thickBot="1" x14ac:dyDescent="0.3">
      <c r="B17" s="15" t="s">
        <v>11</v>
      </c>
      <c r="C17" s="18"/>
      <c r="D17" s="11"/>
      <c r="H17" s="49" t="s">
        <v>23</v>
      </c>
      <c r="I17" s="135">
        <v>1.35</v>
      </c>
    </row>
    <row r="18" spans="2:10" ht="26.1" customHeight="1" thickBot="1" x14ac:dyDescent="0.3">
      <c r="B18" s="15" t="s">
        <v>12</v>
      </c>
      <c r="C18" s="18"/>
      <c r="D18" s="11"/>
      <c r="H18" s="50" t="s">
        <v>24</v>
      </c>
      <c r="I18" s="137">
        <v>1.3</v>
      </c>
    </row>
    <row r="19" spans="2:10" ht="26.1" customHeight="1" thickBot="1" x14ac:dyDescent="0.3">
      <c r="B19" s="15" t="s">
        <v>13</v>
      </c>
      <c r="C19" s="18"/>
      <c r="D19" s="11"/>
      <c r="H19" s="129"/>
      <c r="I19" s="130"/>
      <c r="J19" s="6"/>
    </row>
    <row r="20" spans="2:10" ht="25.5" customHeight="1" thickBot="1" x14ac:dyDescent="0.3">
      <c r="B20" s="15" t="s">
        <v>14</v>
      </c>
      <c r="C20" s="18"/>
      <c r="D20" s="11"/>
      <c r="H20" s="226" t="s">
        <v>324</v>
      </c>
      <c r="I20" s="226"/>
      <c r="J20" s="226"/>
    </row>
    <row r="21" spans="2:10" ht="24.75" customHeight="1" thickBot="1" x14ac:dyDescent="0.35">
      <c r="B21" s="242" t="s">
        <v>29</v>
      </c>
      <c r="C21" s="243"/>
      <c r="D21" s="9" t="s">
        <v>16</v>
      </c>
      <c r="J21" s="6"/>
    </row>
    <row r="22" spans="2:10" ht="26.1" customHeight="1" x14ac:dyDescent="0.25">
      <c r="B22" s="230" t="s">
        <v>17</v>
      </c>
      <c r="C22" s="230"/>
      <c r="D22" s="33"/>
      <c r="H22" s="132" t="s">
        <v>20</v>
      </c>
      <c r="I22" s="142" t="s">
        <v>15</v>
      </c>
    </row>
    <row r="23" spans="2:10" ht="26.1" customHeight="1" x14ac:dyDescent="0.25">
      <c r="B23" s="216" t="s">
        <v>28</v>
      </c>
      <c r="C23" s="216"/>
      <c r="D23" s="33"/>
      <c r="H23" s="49" t="s">
        <v>21</v>
      </c>
      <c r="I23" s="135">
        <v>1.7</v>
      </c>
    </row>
    <row r="24" spans="2:10" ht="23.25" x14ac:dyDescent="0.25">
      <c r="B24" s="216"/>
      <c r="C24" s="216"/>
      <c r="D24" s="5"/>
      <c r="H24" s="49" t="s">
        <v>22</v>
      </c>
      <c r="I24" s="135">
        <v>1.1499999999999999</v>
      </c>
    </row>
    <row r="25" spans="2:10" ht="26.1" customHeight="1" x14ac:dyDescent="0.25">
      <c r="B25" s="216" t="s">
        <v>18</v>
      </c>
      <c r="C25" s="216"/>
      <c r="D25" s="10"/>
      <c r="H25" s="49" t="s">
        <v>23</v>
      </c>
      <c r="I25" s="135" t="s">
        <v>356</v>
      </c>
    </row>
    <row r="26" spans="2:10" ht="26.1" customHeight="1" thickBot="1" x14ac:dyDescent="0.3">
      <c r="B26" s="216" t="s">
        <v>19</v>
      </c>
      <c r="C26" s="216"/>
      <c r="D26" s="10">
        <v>8</v>
      </c>
      <c r="H26" s="50" t="s">
        <v>24</v>
      </c>
      <c r="I26" s="137" t="s">
        <v>356</v>
      </c>
    </row>
    <row r="27" spans="2:10" ht="20.25" thickBot="1" x14ac:dyDescent="0.3">
      <c r="D27" s="6"/>
    </row>
    <row r="28" spans="2:10" ht="20.25" thickBot="1" x14ac:dyDescent="0.3">
      <c r="B28" s="7" t="s">
        <v>20</v>
      </c>
      <c r="C28" s="14" t="s">
        <v>15</v>
      </c>
      <c r="D28" s="14" t="s">
        <v>144</v>
      </c>
      <c r="H28" s="1" t="s">
        <v>412</v>
      </c>
    </row>
    <row r="29" spans="2:10" ht="26.1" customHeight="1" thickBot="1" x14ac:dyDescent="0.35">
      <c r="B29" s="16" t="s">
        <v>21</v>
      </c>
      <c r="C29" s="42">
        <v>1.5</v>
      </c>
      <c r="D29" s="42">
        <v>1.4</v>
      </c>
      <c r="H29" s="223" t="s">
        <v>401</v>
      </c>
      <c r="I29" s="224"/>
      <c r="J29" s="225"/>
    </row>
    <row r="30" spans="2:10" ht="26.1" customHeight="1" x14ac:dyDescent="0.3">
      <c r="B30" s="17" t="s">
        <v>22</v>
      </c>
      <c r="C30" s="42">
        <v>1.35</v>
      </c>
      <c r="D30" s="42">
        <v>1.35</v>
      </c>
      <c r="H30" s="43" t="s">
        <v>398</v>
      </c>
      <c r="I30" s="235" t="s">
        <v>413</v>
      </c>
      <c r="J30" s="236"/>
    </row>
    <row r="31" spans="2:10" ht="26.1" customHeight="1" x14ac:dyDescent="0.3">
      <c r="B31" s="17" t="s">
        <v>23</v>
      </c>
      <c r="C31" s="42">
        <v>1.45</v>
      </c>
      <c r="D31" s="42">
        <v>1.35</v>
      </c>
      <c r="H31" s="43" t="s">
        <v>399</v>
      </c>
      <c r="I31" s="237"/>
      <c r="J31" s="237"/>
    </row>
    <row r="32" spans="2:10" ht="26.1" customHeight="1" x14ac:dyDescent="0.3">
      <c r="B32" s="17" t="s">
        <v>24</v>
      </c>
      <c r="C32" s="42">
        <v>1.35</v>
      </c>
      <c r="D32" s="42">
        <v>1.3</v>
      </c>
      <c r="H32" s="43" t="s">
        <v>421</v>
      </c>
      <c r="I32" s="237"/>
      <c r="J32" s="237"/>
    </row>
    <row r="33" spans="2:10" ht="20.25" thickBot="1" x14ac:dyDescent="0.3">
      <c r="H33" s="118" t="s">
        <v>420</v>
      </c>
      <c r="I33" s="237"/>
      <c r="J33" s="237"/>
    </row>
    <row r="34" spans="2:10" ht="20.25" x14ac:dyDescent="0.3">
      <c r="B34" s="238" t="s">
        <v>25</v>
      </c>
      <c r="C34" s="239"/>
      <c r="D34" s="240"/>
      <c r="H34" s="118" t="s">
        <v>400</v>
      </c>
      <c r="I34" s="237"/>
      <c r="J34" s="237"/>
    </row>
    <row r="35" spans="2:10" x14ac:dyDescent="0.25">
      <c r="B35" s="241" t="s">
        <v>320</v>
      </c>
      <c r="C35" s="241"/>
      <c r="D35" s="241"/>
      <c r="H35" s="154"/>
      <c r="I35" s="237"/>
      <c r="J35" s="237"/>
    </row>
    <row r="36" spans="2:10" x14ac:dyDescent="0.25">
      <c r="B36" s="43" t="s">
        <v>187</v>
      </c>
      <c r="C36" s="40"/>
      <c r="D36" s="40"/>
      <c r="H36" s="234"/>
      <c r="I36" s="234"/>
      <c r="J36" s="234"/>
    </row>
    <row r="37" spans="2:10" x14ac:dyDescent="0.25">
      <c r="B37" s="43" t="s">
        <v>188</v>
      </c>
      <c r="C37" s="40"/>
      <c r="D37" s="40"/>
    </row>
    <row r="38" spans="2:10" x14ac:dyDescent="0.25">
      <c r="B38" s="43" t="s">
        <v>189</v>
      </c>
      <c r="C38" s="40"/>
      <c r="D38" s="40"/>
    </row>
    <row r="39" spans="2:10" x14ac:dyDescent="0.25">
      <c r="B39" s="43" t="s">
        <v>190</v>
      </c>
      <c r="C39" s="40"/>
      <c r="D39" s="40"/>
    </row>
    <row r="40" spans="2:10" x14ac:dyDescent="0.25">
      <c r="B40" s="43" t="s">
        <v>191</v>
      </c>
      <c r="C40" s="40"/>
      <c r="D40" s="40"/>
    </row>
    <row r="42" spans="2:10" x14ac:dyDescent="0.25">
      <c r="B42" s="202"/>
      <c r="C42" s="202"/>
      <c r="D42" s="202"/>
    </row>
    <row r="43" spans="2:10" x14ac:dyDescent="0.25">
      <c r="B43" s="202"/>
      <c r="C43" s="202"/>
      <c r="D43" s="202"/>
    </row>
    <row r="44" spans="2:10" x14ac:dyDescent="0.25">
      <c r="B44" s="202"/>
      <c r="C44" s="202"/>
      <c r="D44" s="202"/>
    </row>
    <row r="45" spans="2:10" x14ac:dyDescent="0.25">
      <c r="B45" s="40" t="s">
        <v>187</v>
      </c>
    </row>
    <row r="46" spans="2:10" x14ac:dyDescent="0.25">
      <c r="B46" s="40" t="s">
        <v>188</v>
      </c>
    </row>
    <row r="47" spans="2:10" x14ac:dyDescent="0.25">
      <c r="B47" s="40" t="s">
        <v>189</v>
      </c>
    </row>
    <row r="48" spans="2:10" x14ac:dyDescent="0.25">
      <c r="B48" s="40" t="s">
        <v>190</v>
      </c>
    </row>
    <row r="49" spans="2:2" x14ac:dyDescent="0.25">
      <c r="B49" s="40" t="s">
        <v>191</v>
      </c>
    </row>
  </sheetData>
  <mergeCells count="27">
    <mergeCell ref="B2:D2"/>
    <mergeCell ref="B4:D4"/>
    <mergeCell ref="B7:C7"/>
    <mergeCell ref="B8:C8"/>
    <mergeCell ref="B21:C21"/>
    <mergeCell ref="B22:C22"/>
    <mergeCell ref="B42:D42"/>
    <mergeCell ref="B43:D43"/>
    <mergeCell ref="B44:D44"/>
    <mergeCell ref="B23:C23"/>
    <mergeCell ref="B24:C24"/>
    <mergeCell ref="B25:C25"/>
    <mergeCell ref="B26:C26"/>
    <mergeCell ref="B34:D34"/>
    <mergeCell ref="B35:D35"/>
    <mergeCell ref="H36:J36"/>
    <mergeCell ref="H29:J29"/>
    <mergeCell ref="H2:J2"/>
    <mergeCell ref="H4:J4"/>
    <mergeCell ref="H12:J12"/>
    <mergeCell ref="H7:I7"/>
    <mergeCell ref="H20:J20"/>
    <mergeCell ref="H8:I8"/>
    <mergeCell ref="H9:I9"/>
    <mergeCell ref="H10:I10"/>
    <mergeCell ref="H6:I6"/>
    <mergeCell ref="I30:J35"/>
  </mergeCells>
  <pageMargins left="0.75" right="0.75" top="1" bottom="1" header="0" footer="0"/>
  <pageSetup paperSize="9" scale="76" orientation="portrait" r:id="rId1"/>
  <headerFooter alignWithMargins="0">
    <oddHeader>&amp;L&amp;"Tahoma,Negrita"&amp;12   &amp;G
&amp;R&amp;"Tahoma,Negrita"&amp;12
Tren de Alambrón
Gijón</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tabColor rgb="FF92D050"/>
    <pageSetUpPr fitToPage="1"/>
  </sheetPr>
  <dimension ref="A1:E44"/>
  <sheetViews>
    <sheetView view="pageBreakPreview" zoomScale="55" zoomScaleNormal="100" zoomScaleSheetLayoutView="55" workbookViewId="0">
      <selection activeCell="C28" sqref="C28"/>
    </sheetView>
  </sheetViews>
  <sheetFormatPr baseColWidth="10" defaultColWidth="11.42578125" defaultRowHeight="19.5" x14ac:dyDescent="0.25"/>
  <cols>
    <col min="1" max="1" width="8.7109375" style="1" customWidth="1"/>
    <col min="2" max="2" width="25.7109375" style="1" customWidth="1"/>
    <col min="3" max="3" width="20.28515625" style="1" customWidth="1"/>
    <col min="4" max="4" width="35.7109375" style="1" customWidth="1"/>
    <col min="5" max="5" width="8.7109375" style="1" customWidth="1"/>
    <col min="6" max="16384" width="11.42578125" style="1"/>
  </cols>
  <sheetData>
    <row r="1" spans="1:5" ht="20.25" thickBot="1" x14ac:dyDescent="0.3">
      <c r="E1" s="39"/>
    </row>
    <row r="2" spans="1:5" ht="27.75" thickBot="1" x14ac:dyDescent="0.4">
      <c r="B2" s="211" t="s">
        <v>317</v>
      </c>
      <c r="C2" s="212"/>
      <c r="D2" s="213"/>
    </row>
    <row r="4" spans="1:5" x14ac:dyDescent="0.25">
      <c r="B4" s="214" t="s">
        <v>30</v>
      </c>
      <c r="C4" s="214"/>
      <c r="D4" s="214"/>
    </row>
    <row r="5" spans="1:5" ht="26.1" customHeight="1" thickBot="1" x14ac:dyDescent="0.3"/>
    <row r="6" spans="1:5" ht="26.1" customHeight="1" x14ac:dyDescent="0.25">
      <c r="A6" s="1">
        <v>19</v>
      </c>
      <c r="B6" s="221" t="s">
        <v>3</v>
      </c>
      <c r="C6" s="222"/>
      <c r="D6" s="134" t="s">
        <v>16</v>
      </c>
    </row>
    <row r="7" spans="1:5" ht="23.25" x14ac:dyDescent="0.25">
      <c r="B7" s="215" t="s">
        <v>360</v>
      </c>
      <c r="C7" s="216"/>
      <c r="D7" s="135">
        <v>5</v>
      </c>
    </row>
    <row r="8" spans="1:5" ht="23.25" x14ac:dyDescent="0.25">
      <c r="B8" s="219" t="s">
        <v>361</v>
      </c>
      <c r="C8" s="220"/>
      <c r="D8" s="135">
        <v>4</v>
      </c>
    </row>
    <row r="9" spans="1:5" ht="23.25" x14ac:dyDescent="0.25">
      <c r="B9" s="219" t="s">
        <v>362</v>
      </c>
      <c r="C9" s="220"/>
      <c r="D9" s="135" t="s">
        <v>357</v>
      </c>
    </row>
    <row r="10" spans="1:5" ht="24" thickBot="1" x14ac:dyDescent="0.3">
      <c r="B10" s="217" t="s">
        <v>363</v>
      </c>
      <c r="C10" s="218"/>
      <c r="D10" s="137" t="s">
        <v>345</v>
      </c>
    </row>
    <row r="11" spans="1:5" ht="26.1" customHeight="1" x14ac:dyDescent="0.25"/>
    <row r="12" spans="1:5" ht="26.1" customHeight="1" x14ac:dyDescent="0.25">
      <c r="B12" s="226" t="s">
        <v>325</v>
      </c>
      <c r="C12" s="226"/>
      <c r="D12" s="226"/>
    </row>
    <row r="13" spans="1:5" ht="26.1" customHeight="1" thickBot="1" x14ac:dyDescent="0.3"/>
    <row r="14" spans="1:5" ht="26.1" customHeight="1" thickBot="1" x14ac:dyDescent="0.3">
      <c r="B14" s="7" t="s">
        <v>20</v>
      </c>
      <c r="C14" s="14" t="s">
        <v>15</v>
      </c>
      <c r="D14" s="124" t="s">
        <v>321</v>
      </c>
    </row>
    <row r="15" spans="1:5" ht="26.1" customHeight="1" x14ac:dyDescent="0.3">
      <c r="B15" s="48" t="s">
        <v>21</v>
      </c>
      <c r="C15" s="42">
        <v>1.45</v>
      </c>
      <c r="D15" s="125">
        <v>1.5</v>
      </c>
    </row>
    <row r="16" spans="1:5" ht="26.1" customHeight="1" x14ac:dyDescent="0.3">
      <c r="B16" s="49" t="s">
        <v>22</v>
      </c>
      <c r="C16" s="42">
        <v>1.35</v>
      </c>
      <c r="D16" s="125">
        <v>1.35</v>
      </c>
    </row>
    <row r="17" spans="2:4" ht="26.1" customHeight="1" x14ac:dyDescent="0.3">
      <c r="B17" s="49" t="s">
        <v>23</v>
      </c>
      <c r="C17" s="42">
        <v>1.4</v>
      </c>
      <c r="D17" s="125">
        <v>1.4</v>
      </c>
    </row>
    <row r="18" spans="2:4" ht="26.1" customHeight="1" thickBot="1" x14ac:dyDescent="0.35">
      <c r="B18" s="50" t="s">
        <v>24</v>
      </c>
      <c r="C18" s="126">
        <v>1.35</v>
      </c>
      <c r="D18" s="127">
        <v>1.45</v>
      </c>
    </row>
    <row r="19" spans="2:4" ht="26.1" customHeight="1" x14ac:dyDescent="0.25">
      <c r="B19" s="120"/>
      <c r="C19" s="78"/>
      <c r="D19" s="6"/>
    </row>
    <row r="20" spans="2:4" ht="26.1" customHeight="1" x14ac:dyDescent="0.25">
      <c r="B20" s="226" t="s">
        <v>324</v>
      </c>
      <c r="C20" s="226"/>
      <c r="D20" s="226"/>
    </row>
    <row r="21" spans="2:4" ht="26.1" customHeight="1" thickBot="1" x14ac:dyDescent="0.3">
      <c r="B21" s="209"/>
      <c r="C21" s="209"/>
      <c r="D21" s="29"/>
    </row>
    <row r="22" spans="2:4" ht="25.5" customHeight="1" thickBot="1" x14ac:dyDescent="0.3">
      <c r="B22" s="155" t="s">
        <v>20</v>
      </c>
      <c r="C22" s="159" t="s">
        <v>15</v>
      </c>
    </row>
    <row r="23" spans="2:4" ht="25.5" customHeight="1" x14ac:dyDescent="0.25">
      <c r="B23" s="156" t="s">
        <v>21</v>
      </c>
      <c r="C23" s="160">
        <v>1.7</v>
      </c>
    </row>
    <row r="24" spans="2:4" ht="25.5" customHeight="1" x14ac:dyDescent="0.25">
      <c r="B24" s="157" t="s">
        <v>22</v>
      </c>
      <c r="C24" s="160">
        <v>1.2</v>
      </c>
    </row>
    <row r="25" spans="2:4" ht="25.5" customHeight="1" x14ac:dyDescent="0.25">
      <c r="B25" s="157" t="s">
        <v>23</v>
      </c>
      <c r="C25" s="160"/>
    </row>
    <row r="26" spans="2:4" ht="25.5" customHeight="1" thickBot="1" x14ac:dyDescent="0.3">
      <c r="B26" s="158" t="s">
        <v>24</v>
      </c>
      <c r="C26" s="161"/>
    </row>
    <row r="27" spans="2:4" ht="26.1" customHeight="1" x14ac:dyDescent="0.25"/>
    <row r="28" spans="2:4" ht="20.25" thickBot="1" x14ac:dyDescent="0.3">
      <c r="B28" s="1" t="s">
        <v>412</v>
      </c>
    </row>
    <row r="29" spans="2:4" ht="21" thickBot="1" x14ac:dyDescent="0.35">
      <c r="B29" s="223" t="s">
        <v>401</v>
      </c>
      <c r="C29" s="224"/>
      <c r="D29" s="225"/>
    </row>
    <row r="30" spans="2:4" x14ac:dyDescent="0.25">
      <c r="B30" s="43" t="s">
        <v>398</v>
      </c>
      <c r="C30" s="40"/>
      <c r="D30" s="197" t="s">
        <v>414</v>
      </c>
    </row>
    <row r="31" spans="2:4" x14ac:dyDescent="0.25">
      <c r="B31" s="43" t="s">
        <v>399</v>
      </c>
      <c r="C31" s="40"/>
      <c r="D31" s="198" t="s">
        <v>415</v>
      </c>
    </row>
    <row r="32" spans="2:4" x14ac:dyDescent="0.25">
      <c r="B32" s="43" t="s">
        <v>422</v>
      </c>
      <c r="C32" s="40"/>
      <c r="D32" s="198" t="s">
        <v>416</v>
      </c>
    </row>
    <row r="33" spans="2:4" x14ac:dyDescent="0.25">
      <c r="B33" s="118" t="s">
        <v>420</v>
      </c>
      <c r="C33" s="154"/>
      <c r="D33" s="198" t="s">
        <v>417</v>
      </c>
    </row>
    <row r="34" spans="2:4" x14ac:dyDescent="0.25">
      <c r="B34" s="118" t="s">
        <v>400</v>
      </c>
      <c r="C34" s="154"/>
      <c r="D34" s="198" t="s">
        <v>418</v>
      </c>
    </row>
    <row r="35" spans="2:4" x14ac:dyDescent="0.25">
      <c r="B35" s="154"/>
      <c r="C35" s="154"/>
      <c r="D35" s="198" t="s">
        <v>427</v>
      </c>
    </row>
    <row r="36" spans="2:4" x14ac:dyDescent="0.25">
      <c r="B36" s="209"/>
      <c r="C36" s="209"/>
      <c r="D36" s="198" t="s">
        <v>419</v>
      </c>
    </row>
    <row r="37" spans="2:4" x14ac:dyDescent="0.25">
      <c r="B37" s="202"/>
      <c r="C37" s="202"/>
      <c r="D37" s="202"/>
    </row>
    <row r="38" spans="2:4" x14ac:dyDescent="0.25">
      <c r="B38" s="202"/>
      <c r="C38" s="202"/>
      <c r="D38" s="202"/>
    </row>
    <row r="39" spans="2:4" x14ac:dyDescent="0.25">
      <c r="B39" s="202"/>
      <c r="C39" s="202"/>
      <c r="D39" s="202"/>
    </row>
    <row r="40" spans="2:4" x14ac:dyDescent="0.25">
      <c r="B40" s="40" t="s">
        <v>187</v>
      </c>
    </row>
    <row r="41" spans="2:4" x14ac:dyDescent="0.25">
      <c r="B41" s="40" t="s">
        <v>188</v>
      </c>
    </row>
    <row r="42" spans="2:4" x14ac:dyDescent="0.25">
      <c r="B42" s="40" t="s">
        <v>189</v>
      </c>
    </row>
    <row r="43" spans="2:4" x14ac:dyDescent="0.25">
      <c r="B43" s="40" t="s">
        <v>190</v>
      </c>
    </row>
    <row r="44" spans="2:4" x14ac:dyDescent="0.25">
      <c r="B44" s="40" t="s">
        <v>191</v>
      </c>
    </row>
  </sheetData>
  <mergeCells count="15">
    <mergeCell ref="B2:D2"/>
    <mergeCell ref="B4:D4"/>
    <mergeCell ref="B20:D20"/>
    <mergeCell ref="B37:D37"/>
    <mergeCell ref="B12:D12"/>
    <mergeCell ref="B6:C6"/>
    <mergeCell ref="B7:C7"/>
    <mergeCell ref="B10:C10"/>
    <mergeCell ref="B8:C8"/>
    <mergeCell ref="B9:C9"/>
    <mergeCell ref="B38:D38"/>
    <mergeCell ref="B39:D39"/>
    <mergeCell ref="B21:C21"/>
    <mergeCell ref="B29:D29"/>
    <mergeCell ref="B36:C36"/>
  </mergeCells>
  <pageMargins left="0.75" right="0.75" top="1" bottom="1" header="0" footer="0"/>
  <pageSetup paperSize="9" scale="84" orientation="portrait" r:id="rId1"/>
  <headerFooter alignWithMargins="0">
    <oddHeader>&amp;L&amp;"Tahoma,Negrita"&amp;12   &amp;G
&amp;R&amp;"Tahoma,Negrita"&amp;12
Tren de Alambrón
Gijón</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tabColor rgb="FF92D050"/>
    <pageSetUpPr fitToPage="1"/>
  </sheetPr>
  <dimension ref="A1:L49"/>
  <sheetViews>
    <sheetView view="pageBreakPreview" zoomScale="55" zoomScaleNormal="100" zoomScaleSheetLayoutView="55" workbookViewId="0">
      <selection activeCell="I33" sqref="I33"/>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8" width="11.42578125" style="1"/>
    <col min="9" max="9" width="38.7109375" style="1" customWidth="1"/>
    <col min="10" max="10" width="22.140625" style="1" customWidth="1"/>
    <col min="11" max="11" width="33.28515625" style="1" bestFit="1" customWidth="1"/>
    <col min="12" max="16384" width="11.42578125" style="1"/>
  </cols>
  <sheetData>
    <row r="1" spans="1:12" ht="20.25" thickBot="1" x14ac:dyDescent="0.3">
      <c r="E1" s="39"/>
      <c r="L1" s="57"/>
    </row>
    <row r="2" spans="1:12" ht="27.75" thickBot="1" x14ac:dyDescent="0.4">
      <c r="B2" s="211" t="s">
        <v>173</v>
      </c>
      <c r="C2" s="212"/>
      <c r="D2" s="213"/>
      <c r="I2" s="211" t="s">
        <v>173</v>
      </c>
      <c r="J2" s="212"/>
      <c r="K2" s="213"/>
    </row>
    <row r="3" spans="1:12" ht="25.5" customHeight="1" x14ac:dyDescent="0.25"/>
    <row r="4" spans="1:12" ht="25.5" customHeight="1" x14ac:dyDescent="0.25">
      <c r="B4" s="214" t="s">
        <v>30</v>
      </c>
      <c r="C4" s="214"/>
      <c r="D4" s="214"/>
      <c r="I4" s="214" t="s">
        <v>30</v>
      </c>
      <c r="J4" s="214"/>
      <c r="K4" s="214"/>
    </row>
    <row r="5" spans="1:12" ht="25.5" customHeight="1" thickBot="1" x14ac:dyDescent="0.3"/>
    <row r="6" spans="1:12" ht="25.5" customHeight="1" thickBot="1" x14ac:dyDescent="0.3">
      <c r="B6" s="2" t="s">
        <v>3</v>
      </c>
      <c r="C6" s="3"/>
      <c r="D6" s="4" t="s">
        <v>16</v>
      </c>
      <c r="I6" s="221" t="s">
        <v>3</v>
      </c>
      <c r="J6" s="222"/>
      <c r="K6" s="134" t="s">
        <v>16</v>
      </c>
    </row>
    <row r="7" spans="1:12" ht="25.5" customHeight="1" thickBot="1" x14ac:dyDescent="0.3">
      <c r="A7" s="1">
        <v>18</v>
      </c>
      <c r="B7" s="227" t="s">
        <v>192</v>
      </c>
      <c r="C7" s="228"/>
      <c r="D7" s="18" t="s">
        <v>322</v>
      </c>
      <c r="I7" s="215" t="s">
        <v>360</v>
      </c>
      <c r="J7" s="216"/>
      <c r="K7" s="135">
        <v>4</v>
      </c>
    </row>
    <row r="8" spans="1:12" ht="25.5" customHeight="1" thickBot="1" x14ac:dyDescent="0.3">
      <c r="B8" s="227" t="s">
        <v>193</v>
      </c>
      <c r="C8" s="228"/>
      <c r="D8" s="18" t="s">
        <v>282</v>
      </c>
      <c r="I8" s="219" t="s">
        <v>361</v>
      </c>
      <c r="J8" s="220"/>
      <c r="K8" s="135">
        <v>3</v>
      </c>
    </row>
    <row r="9" spans="1:12" ht="24" thickBot="1" x14ac:dyDescent="0.3">
      <c r="D9" s="6"/>
      <c r="I9" s="219" t="s">
        <v>362</v>
      </c>
      <c r="J9" s="220"/>
      <c r="K9" s="135" t="s">
        <v>358</v>
      </c>
    </row>
    <row r="10" spans="1:12" ht="24" thickBot="1" x14ac:dyDescent="0.3">
      <c r="B10" s="7" t="s">
        <v>4</v>
      </c>
      <c r="C10" s="8" t="s">
        <v>15</v>
      </c>
      <c r="D10" s="9" t="s">
        <v>16</v>
      </c>
      <c r="I10" s="217" t="s">
        <v>363</v>
      </c>
      <c r="J10" s="218"/>
      <c r="K10" s="137" t="s">
        <v>359</v>
      </c>
    </row>
    <row r="11" spans="1:12" ht="26.1" customHeight="1" thickBot="1" x14ac:dyDescent="0.3">
      <c r="B11" s="15" t="s">
        <v>5</v>
      </c>
      <c r="C11" s="18"/>
      <c r="D11" s="11"/>
      <c r="K11" s="6"/>
    </row>
    <row r="12" spans="1:12" ht="26.1" customHeight="1" thickBot="1" x14ac:dyDescent="0.3">
      <c r="B12" s="15" t="s">
        <v>6</v>
      </c>
      <c r="C12" s="18"/>
      <c r="D12" s="30"/>
      <c r="I12" s="226" t="s">
        <v>325</v>
      </c>
      <c r="J12" s="226"/>
      <c r="K12" s="226"/>
    </row>
    <row r="13" spans="1:12" ht="26.1" customHeight="1" thickBot="1" x14ac:dyDescent="0.3">
      <c r="B13" s="15" t="s">
        <v>7</v>
      </c>
      <c r="C13" s="18"/>
      <c r="D13" s="30"/>
    </row>
    <row r="14" spans="1:12" ht="26.1" customHeight="1" thickBot="1" x14ac:dyDescent="0.3">
      <c r="B14" s="15" t="s">
        <v>8</v>
      </c>
      <c r="C14" s="18"/>
      <c r="D14" s="30"/>
      <c r="I14" s="162" t="s">
        <v>20</v>
      </c>
      <c r="J14" s="163" t="s">
        <v>15</v>
      </c>
    </row>
    <row r="15" spans="1:12" ht="26.1" customHeight="1" thickBot="1" x14ac:dyDescent="0.3">
      <c r="B15" s="15" t="s">
        <v>9</v>
      </c>
      <c r="C15" s="18"/>
      <c r="D15" s="30"/>
      <c r="I15" s="157" t="s">
        <v>21</v>
      </c>
      <c r="J15" s="135">
        <v>1.45</v>
      </c>
    </row>
    <row r="16" spans="1:12" ht="26.1" customHeight="1" thickBot="1" x14ac:dyDescent="0.3">
      <c r="B16" s="15" t="s">
        <v>10</v>
      </c>
      <c r="C16" s="18"/>
      <c r="D16" s="30"/>
      <c r="I16" s="157" t="s">
        <v>22</v>
      </c>
      <c r="J16" s="135">
        <v>1.35</v>
      </c>
    </row>
    <row r="17" spans="2:11" ht="26.1" customHeight="1" thickBot="1" x14ac:dyDescent="0.3">
      <c r="B17" s="15" t="s">
        <v>11</v>
      </c>
      <c r="C17" s="18"/>
      <c r="D17" s="11"/>
      <c r="I17" s="157" t="s">
        <v>23</v>
      </c>
      <c r="J17" s="135">
        <v>1.4</v>
      </c>
    </row>
    <row r="18" spans="2:11" ht="26.1" customHeight="1" thickBot="1" x14ac:dyDescent="0.3">
      <c r="B18" s="15" t="s">
        <v>12</v>
      </c>
      <c r="C18" s="18"/>
      <c r="D18" s="11"/>
      <c r="I18" s="158" t="s">
        <v>24</v>
      </c>
      <c r="J18" s="137">
        <v>1.3</v>
      </c>
    </row>
    <row r="19" spans="2:11" ht="26.1" customHeight="1" thickBot="1" x14ac:dyDescent="0.3">
      <c r="B19" s="15" t="s">
        <v>13</v>
      </c>
      <c r="C19" s="18"/>
      <c r="D19" s="11"/>
      <c r="I19" s="129"/>
      <c r="J19" s="130"/>
      <c r="K19" s="6"/>
    </row>
    <row r="20" spans="2:11" ht="26.1" customHeight="1" thickBot="1" x14ac:dyDescent="0.3">
      <c r="B20" s="15" t="s">
        <v>14</v>
      </c>
      <c r="C20" s="18"/>
      <c r="D20" s="11"/>
      <c r="I20" s="226" t="s">
        <v>324</v>
      </c>
      <c r="J20" s="226"/>
      <c r="K20" s="226"/>
    </row>
    <row r="21" spans="2:11" ht="24" thickBot="1" x14ac:dyDescent="0.35">
      <c r="B21" s="242" t="s">
        <v>29</v>
      </c>
      <c r="C21" s="243"/>
      <c r="D21" s="9" t="s">
        <v>16</v>
      </c>
      <c r="I21" s="129"/>
      <c r="J21" s="130"/>
      <c r="K21" s="6"/>
    </row>
    <row r="22" spans="2:11" ht="26.1" customHeight="1" x14ac:dyDescent="0.25">
      <c r="B22" s="230" t="s">
        <v>17</v>
      </c>
      <c r="C22" s="230"/>
      <c r="D22" s="33"/>
      <c r="I22" s="162" t="s">
        <v>20</v>
      </c>
      <c r="J22" s="163" t="s">
        <v>15</v>
      </c>
    </row>
    <row r="23" spans="2:11" ht="26.1" customHeight="1" x14ac:dyDescent="0.25">
      <c r="B23" s="216" t="s">
        <v>28</v>
      </c>
      <c r="C23" s="216"/>
      <c r="D23" s="33"/>
      <c r="I23" s="157" t="s">
        <v>21</v>
      </c>
      <c r="J23" s="135">
        <v>1.3</v>
      </c>
    </row>
    <row r="24" spans="2:11" ht="23.25" x14ac:dyDescent="0.25">
      <c r="B24" s="216"/>
      <c r="C24" s="216"/>
      <c r="D24" s="5"/>
      <c r="I24" s="157" t="s">
        <v>22</v>
      </c>
      <c r="J24" s="135">
        <v>1.2</v>
      </c>
    </row>
    <row r="25" spans="2:11" ht="26.1" customHeight="1" x14ac:dyDescent="0.25">
      <c r="B25" s="216" t="s">
        <v>18</v>
      </c>
      <c r="C25" s="216"/>
      <c r="D25" s="10"/>
      <c r="I25" s="157" t="s">
        <v>23</v>
      </c>
      <c r="J25" s="135" t="s">
        <v>356</v>
      </c>
    </row>
    <row r="26" spans="2:11" ht="26.1" customHeight="1" thickBot="1" x14ac:dyDescent="0.3">
      <c r="B26" s="216" t="s">
        <v>19</v>
      </c>
      <c r="C26" s="216"/>
      <c r="D26" s="10">
        <v>8</v>
      </c>
      <c r="I26" s="158" t="s">
        <v>24</v>
      </c>
      <c r="J26" s="137" t="s">
        <v>356</v>
      </c>
    </row>
    <row r="27" spans="2:11" ht="20.25" thickBot="1" x14ac:dyDescent="0.3">
      <c r="D27" s="6"/>
    </row>
    <row r="28" spans="2:11" ht="20.25" thickBot="1" x14ac:dyDescent="0.3">
      <c r="B28" s="7" t="s">
        <v>20</v>
      </c>
      <c r="C28" s="14" t="s">
        <v>15</v>
      </c>
      <c r="D28" s="9" t="s">
        <v>16</v>
      </c>
      <c r="I28" s="1" t="s">
        <v>411</v>
      </c>
    </row>
    <row r="29" spans="2:11" ht="26.1" customHeight="1" thickBot="1" x14ac:dyDescent="0.35">
      <c r="B29" s="16" t="s">
        <v>21</v>
      </c>
      <c r="C29" s="42">
        <v>1.45</v>
      </c>
      <c r="D29" s="18"/>
      <c r="I29" s="223" t="s">
        <v>407</v>
      </c>
      <c r="J29" s="224"/>
      <c r="K29" s="225"/>
    </row>
    <row r="30" spans="2:11" ht="26.1" customHeight="1" thickBot="1" x14ac:dyDescent="0.35">
      <c r="B30" s="17" t="s">
        <v>22</v>
      </c>
      <c r="C30" s="42">
        <v>1.35</v>
      </c>
      <c r="D30" s="18"/>
      <c r="I30" s="43" t="s">
        <v>398</v>
      </c>
      <c r="J30" s="235" t="s">
        <v>410</v>
      </c>
      <c r="K30" s="236"/>
    </row>
    <row r="31" spans="2:11" ht="26.1" customHeight="1" thickBot="1" x14ac:dyDescent="0.35">
      <c r="B31" s="17" t="s">
        <v>23</v>
      </c>
      <c r="C31" s="42">
        <v>1.4</v>
      </c>
      <c r="D31" s="18"/>
      <c r="I31" s="43" t="s">
        <v>426</v>
      </c>
      <c r="J31" s="237"/>
      <c r="K31" s="237"/>
    </row>
    <row r="32" spans="2:11" ht="26.1" customHeight="1" thickBot="1" x14ac:dyDescent="0.35">
      <c r="B32" s="17" t="s">
        <v>24</v>
      </c>
      <c r="C32" s="42">
        <v>1.3</v>
      </c>
      <c r="D32" s="18"/>
      <c r="I32" s="43" t="s">
        <v>423</v>
      </c>
      <c r="J32" s="237"/>
      <c r="K32" s="237"/>
    </row>
    <row r="33" spans="2:11" ht="20.25" thickBot="1" x14ac:dyDescent="0.3">
      <c r="I33" s="118" t="s">
        <v>424</v>
      </c>
      <c r="J33" s="237"/>
      <c r="K33" s="237"/>
    </row>
    <row r="34" spans="2:11" ht="20.25" x14ac:dyDescent="0.3">
      <c r="B34" s="238" t="s">
        <v>25</v>
      </c>
      <c r="C34" s="239"/>
      <c r="D34" s="240"/>
      <c r="I34" s="118" t="s">
        <v>425</v>
      </c>
      <c r="J34" s="237"/>
      <c r="K34" s="237"/>
    </row>
    <row r="35" spans="2:11" x14ac:dyDescent="0.25">
      <c r="B35" s="241"/>
      <c r="C35" s="241"/>
      <c r="D35" s="241"/>
      <c r="I35" s="154"/>
      <c r="J35" s="154"/>
      <c r="K35" s="154"/>
    </row>
    <row r="36" spans="2:11" x14ac:dyDescent="0.25">
      <c r="B36" s="43" t="s">
        <v>187</v>
      </c>
      <c r="C36" s="40"/>
      <c r="D36" s="40"/>
      <c r="I36" s="234"/>
      <c r="J36" s="234"/>
      <c r="K36" s="234"/>
    </row>
    <row r="37" spans="2:11" x14ac:dyDescent="0.25">
      <c r="B37" s="43" t="s">
        <v>188</v>
      </c>
      <c r="C37" s="40"/>
      <c r="D37" s="40"/>
    </row>
    <row r="38" spans="2:11" x14ac:dyDescent="0.25">
      <c r="B38" s="43" t="s">
        <v>189</v>
      </c>
      <c r="C38" s="40"/>
      <c r="D38" s="40"/>
    </row>
    <row r="39" spans="2:11" x14ac:dyDescent="0.25">
      <c r="B39" s="43" t="s">
        <v>190</v>
      </c>
      <c r="C39" s="40"/>
      <c r="D39" s="40"/>
    </row>
    <row r="40" spans="2:11" x14ac:dyDescent="0.25">
      <c r="B40" s="43" t="s">
        <v>191</v>
      </c>
      <c r="C40" s="40"/>
      <c r="D40" s="40"/>
    </row>
    <row r="42" spans="2:11" x14ac:dyDescent="0.25">
      <c r="B42" s="202"/>
      <c r="C42" s="202"/>
      <c r="D42" s="202"/>
    </row>
    <row r="43" spans="2:11" x14ac:dyDescent="0.25">
      <c r="B43" s="202"/>
      <c r="C43" s="202"/>
      <c r="D43" s="202"/>
    </row>
    <row r="44" spans="2:11" x14ac:dyDescent="0.25">
      <c r="B44" s="202"/>
      <c r="C44" s="202"/>
      <c r="D44" s="202"/>
    </row>
    <row r="45" spans="2:11" x14ac:dyDescent="0.25">
      <c r="B45" s="40" t="s">
        <v>187</v>
      </c>
    </row>
    <row r="46" spans="2:11" x14ac:dyDescent="0.25">
      <c r="B46" s="40" t="s">
        <v>188</v>
      </c>
    </row>
    <row r="47" spans="2:11" x14ac:dyDescent="0.25">
      <c r="B47" s="40" t="s">
        <v>189</v>
      </c>
    </row>
    <row r="48" spans="2:11" x14ac:dyDescent="0.25">
      <c r="B48" s="40" t="s">
        <v>190</v>
      </c>
    </row>
    <row r="49" spans="2:2" x14ac:dyDescent="0.25">
      <c r="B49" s="40" t="s">
        <v>191</v>
      </c>
    </row>
  </sheetData>
  <mergeCells count="27">
    <mergeCell ref="B44:D44"/>
    <mergeCell ref="B42:D42"/>
    <mergeCell ref="B43:D43"/>
    <mergeCell ref="B2:D2"/>
    <mergeCell ref="B4:D4"/>
    <mergeCell ref="B35:D35"/>
    <mergeCell ref="B21:C21"/>
    <mergeCell ref="B7:C7"/>
    <mergeCell ref="B8:C8"/>
    <mergeCell ref="B34:D34"/>
    <mergeCell ref="B26:C26"/>
    <mergeCell ref="B22:C22"/>
    <mergeCell ref="B23:C23"/>
    <mergeCell ref="B24:C24"/>
    <mergeCell ref="B25:C25"/>
    <mergeCell ref="I36:K36"/>
    <mergeCell ref="I10:J10"/>
    <mergeCell ref="I29:K29"/>
    <mergeCell ref="J30:K34"/>
    <mergeCell ref="I2:K2"/>
    <mergeCell ref="I4:K4"/>
    <mergeCell ref="I12:K12"/>
    <mergeCell ref="I7:J7"/>
    <mergeCell ref="I20:K20"/>
    <mergeCell ref="I6:J6"/>
    <mergeCell ref="I8:J8"/>
    <mergeCell ref="I9:J9"/>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tabColor rgb="FF92D050"/>
    <pageSetUpPr fitToPage="1"/>
  </sheetPr>
  <dimension ref="A1:E50"/>
  <sheetViews>
    <sheetView view="pageBreakPreview" topLeftCell="A7" zoomScale="85" zoomScaleNormal="100" zoomScaleSheetLayoutView="85" workbookViewId="0">
      <selection activeCell="D38" sqref="D3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57"/>
    </row>
    <row r="2" spans="1:5" ht="27.75" thickBot="1" x14ac:dyDescent="0.4">
      <c r="B2" s="211" t="s">
        <v>223</v>
      </c>
      <c r="C2" s="212"/>
      <c r="D2" s="213"/>
    </row>
    <row r="4" spans="1:5" x14ac:dyDescent="0.25">
      <c r="B4" s="214" t="s">
        <v>30</v>
      </c>
      <c r="C4" s="214"/>
      <c r="D4" s="214"/>
    </row>
    <row r="6" spans="1:5" x14ac:dyDescent="0.25">
      <c r="B6" s="226" t="s">
        <v>325</v>
      </c>
      <c r="C6" s="226"/>
      <c r="D6" s="226"/>
    </row>
    <row r="7" spans="1:5" ht="26.1" customHeight="1" thickBot="1" x14ac:dyDescent="0.3"/>
    <row r="8" spans="1:5" ht="26.1" customHeight="1" thickBot="1" x14ac:dyDescent="0.3">
      <c r="A8" s="1">
        <v>17</v>
      </c>
      <c r="B8" s="242" t="s">
        <v>3</v>
      </c>
      <c r="C8" s="250"/>
      <c r="D8" s="9" t="s">
        <v>16</v>
      </c>
    </row>
    <row r="9" spans="1:5" ht="23.25" x14ac:dyDescent="0.25">
      <c r="B9" s="229" t="s">
        <v>192</v>
      </c>
      <c r="C9" s="230"/>
      <c r="D9" s="141" t="s">
        <v>323</v>
      </c>
    </row>
    <row r="10" spans="1:5" ht="23.25" x14ac:dyDescent="0.25">
      <c r="B10" s="251" t="s">
        <v>193</v>
      </c>
      <c r="C10" s="252"/>
      <c r="D10" s="135" t="s">
        <v>282</v>
      </c>
    </row>
    <row r="11" spans="1:5" ht="26.1" customHeight="1" thickBot="1" x14ac:dyDescent="0.3">
      <c r="D11" s="6"/>
    </row>
    <row r="12" spans="1:5" ht="26.1" customHeight="1" x14ac:dyDescent="0.25">
      <c r="B12" s="132" t="s">
        <v>20</v>
      </c>
      <c r="C12" s="133" t="s">
        <v>15</v>
      </c>
      <c r="D12" s="134" t="s">
        <v>16</v>
      </c>
    </row>
    <row r="13" spans="1:5" ht="26.1" customHeight="1" x14ac:dyDescent="0.25">
      <c r="B13" s="49" t="s">
        <v>21</v>
      </c>
      <c r="C13" s="32">
        <v>1.5</v>
      </c>
      <c r="D13" s="135"/>
    </row>
    <row r="14" spans="1:5" ht="26.1" customHeight="1" x14ac:dyDescent="0.25">
      <c r="B14" s="49" t="s">
        <v>22</v>
      </c>
      <c r="C14" s="32">
        <v>1.4</v>
      </c>
      <c r="D14" s="135"/>
    </row>
    <row r="15" spans="1:5" ht="26.1" customHeight="1" x14ac:dyDescent="0.25">
      <c r="B15" s="49" t="s">
        <v>23</v>
      </c>
      <c r="C15" s="32">
        <v>1.4</v>
      </c>
      <c r="D15" s="135"/>
    </row>
    <row r="16" spans="1:5" ht="26.1" customHeight="1" thickBot="1" x14ac:dyDescent="0.3">
      <c r="B16" s="50" t="s">
        <v>24</v>
      </c>
      <c r="C16" s="136">
        <v>1.3</v>
      </c>
      <c r="D16" s="137"/>
    </row>
    <row r="17" spans="2:4" ht="26.1" customHeight="1" thickBot="1" x14ac:dyDescent="0.35">
      <c r="B17" s="223" t="s">
        <v>407</v>
      </c>
      <c r="C17" s="224"/>
      <c r="D17" s="225"/>
    </row>
    <row r="18" spans="2:4" ht="26.1" customHeight="1" x14ac:dyDescent="0.25">
      <c r="B18" s="196" t="s">
        <v>408</v>
      </c>
      <c r="C18" s="130"/>
      <c r="D18" s="6"/>
    </row>
    <row r="19" spans="2:4" ht="26.1" customHeight="1" x14ac:dyDescent="0.25">
      <c r="B19" s="45" t="s">
        <v>409</v>
      </c>
    </row>
    <row r="20" spans="2:4" ht="26.1" customHeight="1" x14ac:dyDescent="0.25">
      <c r="B20" s="226" t="s">
        <v>324</v>
      </c>
      <c r="C20" s="226"/>
      <c r="D20" s="226"/>
    </row>
    <row r="21" spans="2:4" ht="21" thickBot="1" x14ac:dyDescent="0.35">
      <c r="C21" s="131"/>
      <c r="D21" s="6"/>
    </row>
    <row r="22" spans="2:4" ht="26.1" customHeight="1" x14ac:dyDescent="0.25">
      <c r="B22" s="244" t="s">
        <v>3</v>
      </c>
      <c r="C22" s="245"/>
      <c r="D22" s="134" t="s">
        <v>16</v>
      </c>
    </row>
    <row r="23" spans="2:4" ht="26.1" customHeight="1" x14ac:dyDescent="0.25">
      <c r="B23" s="246" t="s">
        <v>1</v>
      </c>
      <c r="C23" s="247"/>
      <c r="D23" s="135" t="s">
        <v>332</v>
      </c>
    </row>
    <row r="24" spans="2:4" ht="24" thickBot="1" x14ac:dyDescent="0.3">
      <c r="B24" s="248" t="s">
        <v>2</v>
      </c>
      <c r="C24" s="249"/>
      <c r="D24" s="137" t="s">
        <v>333</v>
      </c>
    </row>
    <row r="25" spans="2:4" ht="26.1" customHeight="1" thickBot="1" x14ac:dyDescent="0.3">
      <c r="D25" s="6"/>
    </row>
    <row r="26" spans="2:4" x14ac:dyDescent="0.25">
      <c r="B26" s="132" t="s">
        <v>20</v>
      </c>
      <c r="C26" s="133" t="s">
        <v>15</v>
      </c>
      <c r="D26" s="134" t="s">
        <v>16</v>
      </c>
    </row>
    <row r="27" spans="2:4" ht="23.25" x14ac:dyDescent="0.25">
      <c r="B27" s="49" t="s">
        <v>21</v>
      </c>
      <c r="C27" s="32">
        <v>1.7</v>
      </c>
      <c r="D27" s="135"/>
    </row>
    <row r="28" spans="2:4" ht="26.1" customHeight="1" x14ac:dyDescent="0.25">
      <c r="B28" s="49" t="s">
        <v>22</v>
      </c>
      <c r="C28" s="32">
        <v>1.3</v>
      </c>
      <c r="D28" s="135"/>
    </row>
    <row r="29" spans="2:4" ht="26.1" customHeight="1" x14ac:dyDescent="0.25">
      <c r="B29" s="49" t="s">
        <v>23</v>
      </c>
      <c r="C29" s="32"/>
      <c r="D29" s="135"/>
    </row>
    <row r="30" spans="2:4" ht="26.1" customHeight="1" thickBot="1" x14ac:dyDescent="0.3">
      <c r="B30" s="50" t="s">
        <v>24</v>
      </c>
      <c r="C30" s="136"/>
      <c r="D30" s="137"/>
    </row>
    <row r="31" spans="2:4" ht="26.1" customHeight="1" x14ac:dyDescent="0.25"/>
    <row r="32" spans="2:4" ht="20.25" thickBot="1" x14ac:dyDescent="0.3"/>
    <row r="33" spans="2:4" ht="21" thickBot="1" x14ac:dyDescent="0.35">
      <c r="B33" s="223" t="s">
        <v>401</v>
      </c>
      <c r="C33" s="224"/>
      <c r="D33" s="225"/>
    </row>
    <row r="34" spans="2:4" x14ac:dyDescent="0.25">
      <c r="B34" s="43" t="s">
        <v>402</v>
      </c>
      <c r="C34" s="40"/>
      <c r="D34" s="40"/>
    </row>
    <row r="35" spans="2:4" x14ac:dyDescent="0.25">
      <c r="B35" s="43" t="s">
        <v>403</v>
      </c>
      <c r="C35" s="40"/>
      <c r="D35" s="40"/>
    </row>
    <row r="36" spans="2:4" x14ac:dyDescent="0.25">
      <c r="B36" s="43" t="s">
        <v>405</v>
      </c>
      <c r="C36" s="40"/>
      <c r="D36" s="40"/>
    </row>
    <row r="37" spans="2:4" x14ac:dyDescent="0.25">
      <c r="B37" s="118" t="s">
        <v>406</v>
      </c>
      <c r="C37" s="154"/>
      <c r="D37" s="154"/>
    </row>
    <row r="38" spans="2:4" x14ac:dyDescent="0.25">
      <c r="B38" s="118" t="s">
        <v>404</v>
      </c>
      <c r="C38" s="154"/>
      <c r="D38" s="154"/>
    </row>
    <row r="39" spans="2:4" x14ac:dyDescent="0.25">
      <c r="B39" s="234"/>
      <c r="C39" s="234"/>
      <c r="D39" s="234"/>
    </row>
    <row r="40" spans="2:4" x14ac:dyDescent="0.25">
      <c r="B40" s="234"/>
      <c r="C40" s="234"/>
      <c r="D40" s="234"/>
    </row>
    <row r="41" spans="2:4" x14ac:dyDescent="0.25">
      <c r="B41" s="202"/>
      <c r="C41" s="202"/>
      <c r="D41" s="202"/>
    </row>
    <row r="42" spans="2:4" x14ac:dyDescent="0.25">
      <c r="B42" s="202"/>
      <c r="C42" s="202"/>
      <c r="D42" s="202"/>
    </row>
    <row r="43" spans="2:4" x14ac:dyDescent="0.25">
      <c r="B43" s="210"/>
      <c r="C43" s="210"/>
      <c r="D43" s="210"/>
    </row>
    <row r="44" spans="2:4" x14ac:dyDescent="0.25">
      <c r="B44" s="45"/>
      <c r="C44" s="45"/>
      <c r="D44" s="45"/>
    </row>
    <row r="45" spans="2:4" x14ac:dyDescent="0.25">
      <c r="B45" s="45"/>
      <c r="C45" s="45"/>
      <c r="D45" s="45"/>
    </row>
    <row r="46" spans="2:4" x14ac:dyDescent="0.25">
      <c r="B46" s="210"/>
      <c r="C46" s="210"/>
      <c r="D46" s="210"/>
    </row>
    <row r="47" spans="2:4" x14ac:dyDescent="0.25">
      <c r="B47" s="210"/>
      <c r="C47" s="210"/>
      <c r="D47" s="210"/>
    </row>
    <row r="48" spans="2:4" x14ac:dyDescent="0.25">
      <c r="B48" s="210"/>
      <c r="C48" s="210"/>
      <c r="D48" s="210"/>
    </row>
    <row r="49" spans="2:4" x14ac:dyDescent="0.25">
      <c r="B49" s="210"/>
      <c r="C49" s="210"/>
      <c r="D49" s="210"/>
    </row>
    <row r="50" spans="2:4" x14ac:dyDescent="0.25">
      <c r="B50" s="202"/>
      <c r="C50" s="202"/>
      <c r="D50" s="202"/>
    </row>
  </sheetData>
  <mergeCells count="22">
    <mergeCell ref="B2:D2"/>
    <mergeCell ref="B4:D4"/>
    <mergeCell ref="B9:C9"/>
    <mergeCell ref="B33:D33"/>
    <mergeCell ref="B22:C22"/>
    <mergeCell ref="B23:C23"/>
    <mergeCell ref="B6:D6"/>
    <mergeCell ref="B20:D20"/>
    <mergeCell ref="B24:C24"/>
    <mergeCell ref="B8:C8"/>
    <mergeCell ref="B10:C10"/>
    <mergeCell ref="B17:D17"/>
    <mergeCell ref="B39:D39"/>
    <mergeCell ref="B40:D40"/>
    <mergeCell ref="B50:D50"/>
    <mergeCell ref="B46:D46"/>
    <mergeCell ref="B47:D47"/>
    <mergeCell ref="B48:D48"/>
    <mergeCell ref="B41:D41"/>
    <mergeCell ref="B42:D42"/>
    <mergeCell ref="B43:D43"/>
    <mergeCell ref="B49:D49"/>
  </mergeCells>
  <phoneticPr fontId="17" type="noConversion"/>
  <pageMargins left="0.75" right="0.75" top="1" bottom="1" header="0" footer="0"/>
  <pageSetup paperSize="9" scale="77" orientation="portrait" r:id="rId1"/>
  <headerFooter alignWithMargins="0">
    <oddHeader>&amp;L&amp;"Tahoma,Negrita"&amp;12   &amp;G
&amp;R&amp;"Tahoma,Negrita"&amp;12
Tren de Alambrón
Gijón</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tabColor rgb="FF92D050"/>
    <pageSetUpPr fitToPage="1"/>
  </sheetPr>
  <dimension ref="A1:K51"/>
  <sheetViews>
    <sheetView view="pageBreakPreview" zoomScale="55" zoomScaleNormal="100" zoomScaleSheetLayoutView="55" workbookViewId="0">
      <selection activeCell="J10" sqref="J10"/>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7" width="11.42578125" style="1"/>
    <col min="8" max="8" width="81.140625" style="1" bestFit="1" customWidth="1"/>
    <col min="9" max="9" width="9.140625" style="1" bestFit="1" customWidth="1"/>
    <col min="10" max="10" width="33.28515625" style="1" bestFit="1" customWidth="1"/>
    <col min="11" max="16384" width="11.42578125" style="1"/>
  </cols>
  <sheetData>
    <row r="1" spans="1:11" ht="20.25" thickBot="1" x14ac:dyDescent="0.3">
      <c r="E1" s="39"/>
      <c r="K1" s="57"/>
    </row>
    <row r="2" spans="1:11" ht="27.75" thickBot="1" x14ac:dyDescent="0.4">
      <c r="B2" s="211" t="s">
        <v>172</v>
      </c>
      <c r="C2" s="212"/>
      <c r="D2" s="213"/>
      <c r="H2" s="211" t="s">
        <v>172</v>
      </c>
      <c r="I2" s="212"/>
      <c r="J2" s="213"/>
    </row>
    <row r="4" spans="1:11" x14ac:dyDescent="0.25">
      <c r="B4" s="214" t="s">
        <v>30</v>
      </c>
      <c r="C4" s="214"/>
      <c r="D4" s="214"/>
      <c r="H4" s="214" t="s">
        <v>30</v>
      </c>
      <c r="I4" s="214"/>
      <c r="J4" s="214"/>
    </row>
    <row r="5" spans="1:11" ht="20.25" thickBot="1" x14ac:dyDescent="0.3"/>
    <row r="6" spans="1:11" ht="20.25" thickBot="1" x14ac:dyDescent="0.3">
      <c r="B6" s="2" t="s">
        <v>3</v>
      </c>
      <c r="C6" s="3"/>
      <c r="D6" s="4" t="s">
        <v>16</v>
      </c>
      <c r="H6" s="226" t="s">
        <v>325</v>
      </c>
      <c r="I6" s="226"/>
      <c r="J6" s="226"/>
    </row>
    <row r="7" spans="1:11" ht="26.1" customHeight="1" thickBot="1" x14ac:dyDescent="0.3">
      <c r="B7" s="227" t="s">
        <v>1</v>
      </c>
      <c r="C7" s="228"/>
      <c r="D7" s="18" t="s">
        <v>146</v>
      </c>
    </row>
    <row r="8" spans="1:11" ht="26.1" customHeight="1" thickBot="1" x14ac:dyDescent="0.3">
      <c r="B8" s="227" t="s">
        <v>2</v>
      </c>
      <c r="C8" s="228"/>
      <c r="D8" s="18" t="s">
        <v>281</v>
      </c>
      <c r="H8" s="221" t="s">
        <v>3</v>
      </c>
      <c r="I8" s="222"/>
      <c r="J8" s="134" t="s">
        <v>16</v>
      </c>
    </row>
    <row r="9" spans="1:11" ht="24" thickBot="1" x14ac:dyDescent="0.3">
      <c r="A9" s="1">
        <v>16</v>
      </c>
      <c r="D9" s="6"/>
      <c r="H9" s="215" t="s">
        <v>1</v>
      </c>
      <c r="I9" s="216"/>
      <c r="J9" s="135" t="s">
        <v>327</v>
      </c>
    </row>
    <row r="10" spans="1:11" ht="24" thickBot="1" x14ac:dyDescent="0.3">
      <c r="B10" s="7" t="s">
        <v>4</v>
      </c>
      <c r="C10" s="8" t="s">
        <v>15</v>
      </c>
      <c r="D10" s="9" t="s">
        <v>16</v>
      </c>
      <c r="H10" s="253" t="s">
        <v>2</v>
      </c>
      <c r="I10" s="254"/>
      <c r="J10" s="137" t="s">
        <v>328</v>
      </c>
    </row>
    <row r="11" spans="1:11" ht="26.1" customHeight="1" thickBot="1" x14ac:dyDescent="0.3">
      <c r="B11" s="15" t="s">
        <v>5</v>
      </c>
      <c r="C11" s="18"/>
      <c r="D11" s="11"/>
      <c r="J11" s="6"/>
    </row>
    <row r="12" spans="1:11" ht="26.1" customHeight="1" thickBot="1" x14ac:dyDescent="0.3">
      <c r="B12" s="15" t="s">
        <v>6</v>
      </c>
      <c r="C12" s="18"/>
      <c r="D12" s="30"/>
      <c r="H12" s="132" t="s">
        <v>20</v>
      </c>
      <c r="I12" s="133" t="s">
        <v>15</v>
      </c>
      <c r="J12" s="134" t="s">
        <v>16</v>
      </c>
    </row>
    <row r="13" spans="1:11" ht="26.1" customHeight="1" thickBot="1" x14ac:dyDescent="0.3">
      <c r="B13" s="15" t="s">
        <v>7</v>
      </c>
      <c r="C13" s="18"/>
      <c r="D13" s="30"/>
      <c r="H13" s="49" t="s">
        <v>21</v>
      </c>
      <c r="I13" s="32">
        <v>1.55</v>
      </c>
      <c r="J13" s="135"/>
    </row>
    <row r="14" spans="1:11" ht="26.1" customHeight="1" thickBot="1" x14ac:dyDescent="0.3">
      <c r="B14" s="15" t="s">
        <v>8</v>
      </c>
      <c r="C14" s="18"/>
      <c r="D14" s="30"/>
      <c r="H14" s="49" t="s">
        <v>22</v>
      </c>
      <c r="I14" s="32">
        <v>1.35</v>
      </c>
      <c r="J14" s="135"/>
    </row>
    <row r="15" spans="1:11" ht="26.1" customHeight="1" thickBot="1" x14ac:dyDescent="0.3">
      <c r="B15" s="15" t="s">
        <v>9</v>
      </c>
      <c r="C15" s="18"/>
      <c r="D15" s="30"/>
      <c r="H15" s="49" t="s">
        <v>23</v>
      </c>
      <c r="I15" s="32">
        <v>1.4</v>
      </c>
      <c r="J15" s="135"/>
    </row>
    <row r="16" spans="1:11" ht="26.1" customHeight="1" thickBot="1" x14ac:dyDescent="0.3">
      <c r="B16" s="15" t="s">
        <v>10</v>
      </c>
      <c r="C16" s="18"/>
      <c r="D16" s="30"/>
      <c r="H16" s="50" t="s">
        <v>24</v>
      </c>
      <c r="I16" s="136">
        <v>1.45</v>
      </c>
      <c r="J16" s="137"/>
    </row>
    <row r="17" spans="2:10" ht="26.1" customHeight="1" thickBot="1" x14ac:dyDescent="0.3">
      <c r="B17" s="15" t="s">
        <v>11</v>
      </c>
      <c r="C17" s="18"/>
      <c r="D17" s="11"/>
      <c r="H17" s="129"/>
      <c r="I17" s="130"/>
      <c r="J17" s="6"/>
    </row>
    <row r="18" spans="2:10" ht="26.1" customHeight="1" thickBot="1" x14ac:dyDescent="0.3">
      <c r="B18" s="15" t="s">
        <v>12</v>
      </c>
      <c r="C18" s="18"/>
      <c r="D18" s="11"/>
      <c r="H18" s="129"/>
      <c r="I18" s="130"/>
      <c r="J18" s="6"/>
    </row>
    <row r="19" spans="2:10" ht="26.1" customHeight="1" thickBot="1" x14ac:dyDescent="0.3">
      <c r="B19" s="15" t="s">
        <v>13</v>
      </c>
      <c r="C19" s="18"/>
      <c r="D19" s="11"/>
      <c r="H19" s="226" t="s">
        <v>324</v>
      </c>
      <c r="I19" s="226"/>
      <c r="J19" s="226"/>
    </row>
    <row r="20" spans="2:10" ht="26.1" customHeight="1" thickBot="1" x14ac:dyDescent="0.3">
      <c r="B20" s="15" t="s">
        <v>14</v>
      </c>
      <c r="C20" s="18"/>
      <c r="D20" s="11"/>
      <c r="H20" s="129"/>
      <c r="I20" s="130"/>
      <c r="J20" s="6"/>
    </row>
    <row r="21" spans="2:10" ht="21" thickBot="1" x14ac:dyDescent="0.35">
      <c r="B21" s="242" t="s">
        <v>29</v>
      </c>
      <c r="C21" s="243"/>
      <c r="D21" s="9" t="s">
        <v>16</v>
      </c>
      <c r="I21" s="131"/>
      <c r="J21" s="6"/>
    </row>
    <row r="22" spans="2:10" ht="26.1" customHeight="1" x14ac:dyDescent="0.25">
      <c r="B22" s="230" t="s">
        <v>17</v>
      </c>
      <c r="C22" s="230"/>
      <c r="D22" s="33">
        <v>352</v>
      </c>
      <c r="H22" s="244" t="s">
        <v>3</v>
      </c>
      <c r="I22" s="245"/>
      <c r="J22" s="134" t="s">
        <v>16</v>
      </c>
    </row>
    <row r="23" spans="2:10" ht="26.1" customHeight="1" x14ac:dyDescent="0.25">
      <c r="B23" s="216" t="s">
        <v>28</v>
      </c>
      <c r="C23" s="216"/>
      <c r="D23" s="33"/>
      <c r="H23" s="246" t="s">
        <v>1</v>
      </c>
      <c r="I23" s="247"/>
      <c r="J23" s="135"/>
    </row>
    <row r="24" spans="2:10" ht="24" thickBot="1" x14ac:dyDescent="0.3">
      <c r="B24" s="216"/>
      <c r="C24" s="216"/>
      <c r="D24" s="5"/>
      <c r="H24" s="248" t="s">
        <v>2</v>
      </c>
      <c r="I24" s="249"/>
      <c r="J24" s="137" t="s">
        <v>329</v>
      </c>
    </row>
    <row r="25" spans="2:10" ht="26.1" customHeight="1" thickBot="1" x14ac:dyDescent="0.3">
      <c r="B25" s="216" t="s">
        <v>18</v>
      </c>
      <c r="C25" s="216"/>
      <c r="D25" s="10"/>
      <c r="J25" s="6"/>
    </row>
    <row r="26" spans="2:10" ht="26.1" customHeight="1" x14ac:dyDescent="0.25">
      <c r="B26" s="216" t="s">
        <v>19</v>
      </c>
      <c r="C26" s="216"/>
      <c r="D26" s="10">
        <v>8</v>
      </c>
      <c r="H26" s="132" t="s">
        <v>20</v>
      </c>
      <c r="I26" s="133" t="s">
        <v>15</v>
      </c>
      <c r="J26" s="134" t="s">
        <v>16</v>
      </c>
    </row>
    <row r="27" spans="2:10" ht="24" thickBot="1" x14ac:dyDescent="0.3">
      <c r="D27" s="6"/>
      <c r="H27" s="49" t="s">
        <v>21</v>
      </c>
      <c r="I27" s="32">
        <v>1.6</v>
      </c>
      <c r="J27" s="135"/>
    </row>
    <row r="28" spans="2:10" ht="24" thickBot="1" x14ac:dyDescent="0.3">
      <c r="B28" s="7" t="s">
        <v>20</v>
      </c>
      <c r="C28" s="14" t="s">
        <v>15</v>
      </c>
      <c r="D28" s="9" t="s">
        <v>16</v>
      </c>
      <c r="H28" s="49" t="s">
        <v>22</v>
      </c>
      <c r="I28" s="32">
        <v>1.1499999999999999</v>
      </c>
      <c r="J28" s="135"/>
    </row>
    <row r="29" spans="2:10" ht="26.1" customHeight="1" thickBot="1" x14ac:dyDescent="0.3">
      <c r="B29" s="16" t="s">
        <v>21</v>
      </c>
      <c r="C29" s="31">
        <v>1.55</v>
      </c>
      <c r="D29" s="18"/>
      <c r="H29" s="49" t="s">
        <v>23</v>
      </c>
      <c r="I29" s="32"/>
      <c r="J29" s="135"/>
    </row>
    <row r="30" spans="2:10" ht="26.1" customHeight="1" thickBot="1" x14ac:dyDescent="0.3">
      <c r="B30" s="17" t="s">
        <v>22</v>
      </c>
      <c r="C30" s="32">
        <v>1.35</v>
      </c>
      <c r="D30" s="119"/>
      <c r="H30" s="50" t="s">
        <v>24</v>
      </c>
      <c r="I30" s="136"/>
      <c r="J30" s="137"/>
    </row>
    <row r="31" spans="2:10" ht="26.1" customHeight="1" thickBot="1" x14ac:dyDescent="0.3">
      <c r="B31" s="17" t="s">
        <v>23</v>
      </c>
      <c r="C31" s="32">
        <v>1.4</v>
      </c>
      <c r="D31" s="119"/>
    </row>
    <row r="32" spans="2:10" ht="26.1" customHeight="1" thickBot="1" x14ac:dyDescent="0.3">
      <c r="B32" s="17" t="s">
        <v>24</v>
      </c>
      <c r="C32" s="32">
        <v>1.45</v>
      </c>
      <c r="D32" s="119"/>
    </row>
    <row r="33" spans="2:10" ht="21" thickBot="1" x14ac:dyDescent="0.35">
      <c r="H33" s="238" t="s">
        <v>25</v>
      </c>
      <c r="I33" s="239"/>
      <c r="J33" s="240"/>
    </row>
    <row r="34" spans="2:10" ht="20.25" x14ac:dyDescent="0.3">
      <c r="B34" s="238" t="s">
        <v>25</v>
      </c>
      <c r="C34" s="239"/>
      <c r="D34" s="240"/>
      <c r="H34" s="234"/>
      <c r="I34" s="234"/>
      <c r="J34" s="234"/>
    </row>
    <row r="35" spans="2:10" x14ac:dyDescent="0.25">
      <c r="B35" s="234" t="s">
        <v>196</v>
      </c>
      <c r="C35" s="234"/>
      <c r="D35" s="234"/>
      <c r="H35" s="47"/>
      <c r="I35" s="47"/>
      <c r="J35" s="47"/>
    </row>
    <row r="36" spans="2:10" x14ac:dyDescent="0.25">
      <c r="B36" s="47" t="s">
        <v>197</v>
      </c>
      <c r="C36" s="47"/>
      <c r="D36" s="47"/>
      <c r="H36" s="47"/>
      <c r="I36" s="47"/>
      <c r="J36" s="47"/>
    </row>
    <row r="37" spans="2:10" x14ac:dyDescent="0.25">
      <c r="B37" s="47" t="s">
        <v>147</v>
      </c>
      <c r="C37" s="47"/>
      <c r="D37" s="47"/>
      <c r="H37" s="234"/>
      <c r="I37" s="234"/>
      <c r="J37" s="234"/>
    </row>
    <row r="38" spans="2:10" x14ac:dyDescent="0.25">
      <c r="B38" s="234" t="s">
        <v>198</v>
      </c>
      <c r="C38" s="234"/>
      <c r="D38" s="234"/>
      <c r="H38" s="234"/>
      <c r="I38" s="234"/>
      <c r="J38" s="234"/>
    </row>
    <row r="39" spans="2:10" x14ac:dyDescent="0.25">
      <c r="B39" s="234" t="s">
        <v>199</v>
      </c>
      <c r="C39" s="234"/>
      <c r="D39" s="234"/>
      <c r="H39" s="234"/>
      <c r="I39" s="234"/>
      <c r="J39" s="234"/>
    </row>
    <row r="40" spans="2:10" x14ac:dyDescent="0.25">
      <c r="B40" s="234" t="s">
        <v>200</v>
      </c>
      <c r="C40" s="234"/>
      <c r="D40" s="234"/>
      <c r="H40" s="234"/>
      <c r="I40" s="234"/>
      <c r="J40" s="234"/>
    </row>
    <row r="41" spans="2:10" x14ac:dyDescent="0.25">
      <c r="B41" s="234" t="s">
        <v>201</v>
      </c>
      <c r="C41" s="234"/>
      <c r="D41" s="234"/>
    </row>
    <row r="42" spans="2:10" x14ac:dyDescent="0.25">
      <c r="B42" s="202"/>
      <c r="C42" s="202"/>
      <c r="D42" s="202"/>
    </row>
    <row r="43" spans="2:10" x14ac:dyDescent="0.25">
      <c r="B43" s="202"/>
      <c r="C43" s="202"/>
      <c r="D43" s="202"/>
    </row>
    <row r="44" spans="2:10" x14ac:dyDescent="0.25">
      <c r="B44" s="210" t="s">
        <v>196</v>
      </c>
      <c r="C44" s="210"/>
      <c r="D44" s="210"/>
    </row>
    <row r="45" spans="2:10" x14ac:dyDescent="0.25">
      <c r="B45" s="45" t="s">
        <v>197</v>
      </c>
      <c r="C45" s="45"/>
      <c r="D45" s="45"/>
    </row>
    <row r="46" spans="2:10" x14ac:dyDescent="0.25">
      <c r="B46" s="45" t="s">
        <v>147</v>
      </c>
      <c r="C46" s="45"/>
      <c r="D46" s="45"/>
    </row>
    <row r="47" spans="2:10" x14ac:dyDescent="0.25">
      <c r="B47" s="210" t="s">
        <v>198</v>
      </c>
      <c r="C47" s="210"/>
      <c r="D47" s="210"/>
    </row>
    <row r="48" spans="2:10" x14ac:dyDescent="0.25">
      <c r="B48" s="210" t="s">
        <v>199</v>
      </c>
      <c r="C48" s="210"/>
      <c r="D48" s="210"/>
    </row>
    <row r="49" spans="2:4" x14ac:dyDescent="0.25">
      <c r="B49" s="210" t="s">
        <v>200</v>
      </c>
      <c r="C49" s="210"/>
      <c r="D49" s="210"/>
    </row>
    <row r="50" spans="2:4" x14ac:dyDescent="0.25">
      <c r="B50" s="210" t="s">
        <v>201</v>
      </c>
      <c r="C50" s="210"/>
      <c r="D50" s="210"/>
    </row>
    <row r="51" spans="2:4" x14ac:dyDescent="0.25">
      <c r="B51" s="202"/>
      <c r="C51" s="202"/>
      <c r="D51" s="202"/>
    </row>
  </sheetData>
  <mergeCells count="40">
    <mergeCell ref="B41:D41"/>
    <mergeCell ref="B51:D51"/>
    <mergeCell ref="B47:D47"/>
    <mergeCell ref="B48:D48"/>
    <mergeCell ref="B49:D49"/>
    <mergeCell ref="B42:D42"/>
    <mergeCell ref="B43:D43"/>
    <mergeCell ref="B44:D44"/>
    <mergeCell ref="B50:D50"/>
    <mergeCell ref="B2:D2"/>
    <mergeCell ref="B4:D4"/>
    <mergeCell ref="B35:D35"/>
    <mergeCell ref="B21:C21"/>
    <mergeCell ref="B7:C7"/>
    <mergeCell ref="B8:C8"/>
    <mergeCell ref="B34:D34"/>
    <mergeCell ref="B22:C22"/>
    <mergeCell ref="B40:D40"/>
    <mergeCell ref="B38:D38"/>
    <mergeCell ref="B39:D39"/>
    <mergeCell ref="B23:C23"/>
    <mergeCell ref="B24:C24"/>
    <mergeCell ref="B25:C25"/>
    <mergeCell ref="B26:C26"/>
    <mergeCell ref="H2:J2"/>
    <mergeCell ref="H4:J4"/>
    <mergeCell ref="H6:J6"/>
    <mergeCell ref="H9:I9"/>
    <mergeCell ref="H19:J19"/>
    <mergeCell ref="H37:J37"/>
    <mergeCell ref="H38:J38"/>
    <mergeCell ref="H39:J39"/>
    <mergeCell ref="H40:J40"/>
    <mergeCell ref="H8:I8"/>
    <mergeCell ref="H10:I10"/>
    <mergeCell ref="H22:I22"/>
    <mergeCell ref="H23:I23"/>
    <mergeCell ref="H24:I24"/>
    <mergeCell ref="H33:J33"/>
    <mergeCell ref="H34:J34"/>
  </mergeCells>
  <phoneticPr fontId="17" type="noConversion"/>
  <pageMargins left="0.75" right="0.75" top="1" bottom="1" header="0" footer="0"/>
  <pageSetup paperSize="9" scale="60" orientation="portrait" r:id="rId1"/>
  <headerFooter alignWithMargins="0">
    <oddHeader>&amp;L&amp;"Tahoma,Negrita"&amp;12   &amp;G
&amp;R&amp;"Tahoma,Negrita"&amp;12
Tren de Alambrón
Gijón</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tabColor rgb="FF92D050"/>
    <pageSetUpPr fitToPage="1"/>
  </sheetPr>
  <dimension ref="A1:E51"/>
  <sheetViews>
    <sheetView view="pageBreakPreview" zoomScale="55" zoomScaleNormal="100" zoomScaleSheetLayoutView="55" workbookViewId="0">
      <selection activeCell="B20" sqref="B20:D20"/>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57"/>
    </row>
    <row r="2" spans="1:5" ht="27.75" thickBot="1" x14ac:dyDescent="0.4">
      <c r="B2" s="211" t="s">
        <v>100</v>
      </c>
      <c r="C2" s="212"/>
      <c r="D2" s="213"/>
    </row>
    <row r="4" spans="1:5" x14ac:dyDescent="0.25">
      <c r="B4" s="214" t="s">
        <v>30</v>
      </c>
      <c r="C4" s="214"/>
      <c r="D4" s="214"/>
    </row>
    <row r="6" spans="1:5" x14ac:dyDescent="0.25">
      <c r="B6" s="226" t="s">
        <v>325</v>
      </c>
      <c r="C6" s="226"/>
      <c r="D6" s="226"/>
    </row>
    <row r="7" spans="1:5" ht="26.1" customHeight="1" thickBot="1" x14ac:dyDescent="0.3"/>
    <row r="8" spans="1:5" ht="26.1" customHeight="1" x14ac:dyDescent="0.25">
      <c r="B8" s="132" t="s">
        <v>3</v>
      </c>
      <c r="C8" s="138"/>
      <c r="D8" s="134" t="s">
        <v>16</v>
      </c>
    </row>
    <row r="9" spans="1:5" ht="23.25" x14ac:dyDescent="0.25">
      <c r="B9" s="215" t="s">
        <v>1</v>
      </c>
      <c r="C9" s="216"/>
      <c r="D9" s="135" t="s">
        <v>101</v>
      </c>
    </row>
    <row r="10" spans="1:5" ht="23.25" x14ac:dyDescent="0.25">
      <c r="A10" s="1">
        <v>15</v>
      </c>
      <c r="B10" s="246" t="s">
        <v>2</v>
      </c>
      <c r="C10" s="247"/>
      <c r="D10" s="135" t="s">
        <v>91</v>
      </c>
    </row>
    <row r="11" spans="1:5" ht="20.25" thickBot="1" x14ac:dyDescent="0.3">
      <c r="B11" s="122" t="s">
        <v>19</v>
      </c>
      <c r="C11" s="123"/>
      <c r="D11" s="139">
        <v>8</v>
      </c>
    </row>
    <row r="12" spans="1:5" ht="26.1" customHeight="1" thickBot="1" x14ac:dyDescent="0.3">
      <c r="D12" s="6"/>
    </row>
    <row r="13" spans="1:5" ht="26.1" customHeight="1" x14ac:dyDescent="0.25">
      <c r="B13" s="132" t="s">
        <v>20</v>
      </c>
      <c r="C13" s="133" t="s">
        <v>15</v>
      </c>
      <c r="D13" s="134" t="s">
        <v>16</v>
      </c>
    </row>
    <row r="14" spans="1:5" ht="26.1" customHeight="1" x14ac:dyDescent="0.25">
      <c r="B14" s="49" t="s">
        <v>21</v>
      </c>
      <c r="C14" s="32">
        <v>1.5</v>
      </c>
      <c r="D14" s="135"/>
    </row>
    <row r="15" spans="1:5" ht="26.1" customHeight="1" x14ac:dyDescent="0.25">
      <c r="B15" s="49" t="s">
        <v>22</v>
      </c>
      <c r="C15" s="32">
        <v>1.4</v>
      </c>
      <c r="D15" s="135"/>
    </row>
    <row r="16" spans="1:5" ht="26.1" customHeight="1" x14ac:dyDescent="0.25">
      <c r="B16" s="49" t="s">
        <v>23</v>
      </c>
      <c r="C16" s="32">
        <v>1.45</v>
      </c>
      <c r="D16" s="135"/>
    </row>
    <row r="17" spans="2:4" ht="26.1" customHeight="1" thickBot="1" x14ac:dyDescent="0.3">
      <c r="B17" s="50" t="s">
        <v>24</v>
      </c>
      <c r="C17" s="136">
        <v>1.4</v>
      </c>
      <c r="D17" s="137"/>
    </row>
    <row r="18" spans="2:4" ht="26.1" customHeight="1" x14ac:dyDescent="0.25">
      <c r="B18" s="129"/>
      <c r="C18" s="130"/>
      <c r="D18" s="6"/>
    </row>
    <row r="19" spans="2:4" ht="26.1" customHeight="1" x14ac:dyDescent="0.25">
      <c r="B19" s="129"/>
      <c r="C19" s="130"/>
      <c r="D19" s="6"/>
    </row>
    <row r="20" spans="2:4" ht="26.1" customHeight="1" x14ac:dyDescent="0.25">
      <c r="B20" s="226" t="s">
        <v>397</v>
      </c>
      <c r="C20" s="226"/>
      <c r="D20" s="226"/>
    </row>
    <row r="21" spans="2:4" ht="26.1" customHeight="1" x14ac:dyDescent="0.25">
      <c r="B21" s="129"/>
      <c r="C21" s="130"/>
      <c r="D21" s="6"/>
    </row>
    <row r="22" spans="2:4" ht="21" thickBot="1" x14ac:dyDescent="0.35">
      <c r="C22" s="131"/>
      <c r="D22" s="6"/>
    </row>
    <row r="23" spans="2:4" ht="26.1" customHeight="1" thickBot="1" x14ac:dyDescent="0.3">
      <c r="B23" s="2" t="s">
        <v>3</v>
      </c>
      <c r="C23" s="4" t="s">
        <v>16</v>
      </c>
      <c r="D23" s="4" t="s">
        <v>16</v>
      </c>
    </row>
    <row r="24" spans="2:4" ht="26.1" customHeight="1" thickBot="1" x14ac:dyDescent="0.3">
      <c r="B24" s="121" t="s">
        <v>1</v>
      </c>
      <c r="C24" s="18" t="s">
        <v>326</v>
      </c>
      <c r="D24" s="18" t="s">
        <v>330</v>
      </c>
    </row>
    <row r="25" spans="2:4" ht="24" thickBot="1" x14ac:dyDescent="0.3">
      <c r="B25" s="121" t="s">
        <v>2</v>
      </c>
      <c r="C25" s="18">
        <v>340</v>
      </c>
      <c r="D25" s="18" t="s">
        <v>331</v>
      </c>
    </row>
    <row r="26" spans="2:4" ht="26.1" customHeight="1" thickBot="1" x14ac:dyDescent="0.3">
      <c r="D26" s="6"/>
    </row>
    <row r="27" spans="2:4" x14ac:dyDescent="0.25">
      <c r="B27" s="132" t="s">
        <v>20</v>
      </c>
      <c r="C27" s="133" t="s">
        <v>15</v>
      </c>
      <c r="D27" s="134" t="s">
        <v>16</v>
      </c>
    </row>
    <row r="28" spans="2:4" ht="23.25" x14ac:dyDescent="0.25">
      <c r="B28" s="49" t="s">
        <v>21</v>
      </c>
      <c r="C28" s="32">
        <v>1.4</v>
      </c>
      <c r="D28" s="135">
        <v>1.3</v>
      </c>
    </row>
    <row r="29" spans="2:4" ht="26.1" customHeight="1" x14ac:dyDescent="0.25">
      <c r="B29" s="49" t="s">
        <v>22</v>
      </c>
      <c r="C29" s="32">
        <v>1.2</v>
      </c>
      <c r="D29" s="135">
        <v>1.1499999999999999</v>
      </c>
    </row>
    <row r="30" spans="2:4" ht="26.1" customHeight="1" x14ac:dyDescent="0.25">
      <c r="B30" s="49" t="s">
        <v>23</v>
      </c>
      <c r="C30" s="32"/>
      <c r="D30" s="135"/>
    </row>
    <row r="31" spans="2:4" ht="26.1" customHeight="1" thickBot="1" x14ac:dyDescent="0.3">
      <c r="B31" s="50" t="s">
        <v>24</v>
      </c>
      <c r="C31" s="136"/>
      <c r="D31" s="137"/>
    </row>
    <row r="32" spans="2:4" ht="26.1" customHeight="1" x14ac:dyDescent="0.25"/>
    <row r="33" spans="2:4" ht="20.25" thickBot="1" x14ac:dyDescent="0.3"/>
    <row r="34" spans="2:4" ht="20.25" x14ac:dyDescent="0.3">
      <c r="B34" s="238" t="s">
        <v>25</v>
      </c>
      <c r="C34" s="239"/>
      <c r="D34" s="240"/>
    </row>
    <row r="35" spans="2:4" x14ac:dyDescent="0.25">
      <c r="B35" s="241" t="s">
        <v>102</v>
      </c>
      <c r="C35" s="241"/>
      <c r="D35" s="241"/>
    </row>
    <row r="36" spans="2:4" x14ac:dyDescent="0.25">
      <c r="B36" s="241" t="s">
        <v>103</v>
      </c>
      <c r="C36" s="241"/>
      <c r="D36" s="241"/>
    </row>
    <row r="37" spans="2:4" x14ac:dyDescent="0.25">
      <c r="B37" s="241"/>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3">
    <mergeCell ref="B2:D2"/>
    <mergeCell ref="B4:D4"/>
    <mergeCell ref="B35:D35"/>
    <mergeCell ref="B36:D36"/>
    <mergeCell ref="B9:C9"/>
    <mergeCell ref="B34:D34"/>
    <mergeCell ref="B6:D6"/>
    <mergeCell ref="B20:D20"/>
    <mergeCell ref="B10:C10"/>
    <mergeCell ref="B37:D37"/>
    <mergeCell ref="B38:D38"/>
    <mergeCell ref="B39:D39"/>
    <mergeCell ref="B50:D50"/>
    <mergeCell ref="B51:D51"/>
    <mergeCell ref="B46:D46"/>
    <mergeCell ref="B47:D47"/>
    <mergeCell ref="B48:D48"/>
    <mergeCell ref="B49:D49"/>
    <mergeCell ref="B42:D42"/>
    <mergeCell ref="B43:D43"/>
    <mergeCell ref="B44:D44"/>
    <mergeCell ref="B45:D45"/>
    <mergeCell ref="B40:D40"/>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tabColor rgb="FF92D050"/>
    <pageSetUpPr fitToPage="1"/>
  </sheetPr>
  <dimension ref="A1:L52"/>
  <sheetViews>
    <sheetView view="pageBreakPreview" topLeftCell="B16" zoomScale="85" zoomScaleNormal="100" zoomScaleSheetLayoutView="85" workbookViewId="0">
      <selection activeCell="C37" sqref="C37"/>
    </sheetView>
  </sheetViews>
  <sheetFormatPr baseColWidth="10" defaultColWidth="11.42578125" defaultRowHeight="19.5" x14ac:dyDescent="0.25"/>
  <cols>
    <col min="1" max="1" width="8.7109375" style="1" customWidth="1"/>
    <col min="2" max="2" width="25.7109375" style="1" customWidth="1"/>
    <col min="3" max="3" width="33.85546875" style="1" customWidth="1"/>
    <col min="4" max="4" width="35.7109375" style="1" customWidth="1"/>
    <col min="5" max="5" width="11" style="1" customWidth="1"/>
    <col min="6" max="8" width="11.42578125" style="1"/>
    <col min="9" max="13" width="41" style="1" customWidth="1"/>
    <col min="14" max="16384" width="11.42578125" style="1"/>
  </cols>
  <sheetData>
    <row r="1" spans="1:12" ht="20.25" thickBot="1" x14ac:dyDescent="0.3">
      <c r="E1" s="57"/>
    </row>
    <row r="2" spans="1:12" ht="27.75" thickBot="1" x14ac:dyDescent="0.4">
      <c r="B2" s="211" t="s">
        <v>97</v>
      </c>
      <c r="C2" s="212"/>
      <c r="D2" s="213"/>
      <c r="J2" s="211" t="s">
        <v>97</v>
      </c>
      <c r="K2" s="212"/>
      <c r="L2" s="213"/>
    </row>
    <row r="4" spans="1:12" x14ac:dyDescent="0.25">
      <c r="B4" s="214" t="s">
        <v>30</v>
      </c>
      <c r="C4" s="214"/>
      <c r="D4" s="214"/>
      <c r="J4" s="214" t="s">
        <v>30</v>
      </c>
      <c r="K4" s="214"/>
      <c r="L4" s="214"/>
    </row>
    <row r="5" spans="1:12" ht="20.25" thickBot="1" x14ac:dyDescent="0.3"/>
    <row r="6" spans="1:12" ht="20.25" thickBot="1" x14ac:dyDescent="0.3">
      <c r="B6" s="226" t="s">
        <v>325</v>
      </c>
      <c r="C6" s="226"/>
      <c r="D6" s="226"/>
      <c r="J6" s="2" t="s">
        <v>3</v>
      </c>
      <c r="K6" s="3"/>
      <c r="L6" s="4" t="s">
        <v>16</v>
      </c>
    </row>
    <row r="7" spans="1:12" ht="26.1" customHeight="1" thickBot="1" x14ac:dyDescent="0.3">
      <c r="J7" s="227" t="s">
        <v>1</v>
      </c>
      <c r="K7" s="228"/>
      <c r="L7" s="18" t="s">
        <v>135</v>
      </c>
    </row>
    <row r="8" spans="1:12" ht="26.1" customHeight="1" thickBot="1" x14ac:dyDescent="0.3">
      <c r="B8" s="205" t="s">
        <v>3</v>
      </c>
      <c r="C8" s="255"/>
      <c r="D8" s="9" t="s">
        <v>16</v>
      </c>
      <c r="J8" s="227" t="s">
        <v>2</v>
      </c>
      <c r="K8" s="228"/>
      <c r="L8" s="18" t="s">
        <v>136</v>
      </c>
    </row>
    <row r="9" spans="1:12" ht="24" thickBot="1" x14ac:dyDescent="0.3">
      <c r="B9" s="229" t="s">
        <v>1</v>
      </c>
      <c r="C9" s="230"/>
      <c r="D9" s="141" t="s">
        <v>135</v>
      </c>
      <c r="L9" s="6"/>
    </row>
    <row r="10" spans="1:12" ht="24" thickBot="1" x14ac:dyDescent="0.3">
      <c r="B10" s="246" t="s">
        <v>2</v>
      </c>
      <c r="C10" s="247"/>
      <c r="D10" s="135" t="s">
        <v>136</v>
      </c>
      <c r="J10" s="7" t="s">
        <v>4</v>
      </c>
      <c r="K10" s="8" t="s">
        <v>15</v>
      </c>
      <c r="L10" s="9" t="s">
        <v>16</v>
      </c>
    </row>
    <row r="11" spans="1:12" ht="26.1" customHeight="1" thickBot="1" x14ac:dyDescent="0.3">
      <c r="A11" s="1">
        <v>14</v>
      </c>
      <c r="B11" s="122" t="s">
        <v>19</v>
      </c>
      <c r="C11" s="123"/>
      <c r="D11" s="139">
        <v>12</v>
      </c>
      <c r="J11" s="156" t="s">
        <v>5</v>
      </c>
      <c r="K11" s="147"/>
      <c r="L11" s="87"/>
    </row>
    <row r="12" spans="1:12" ht="26.1" customHeight="1" thickBot="1" x14ac:dyDescent="0.3">
      <c r="D12" s="6"/>
      <c r="J12" s="157" t="s">
        <v>6</v>
      </c>
      <c r="K12" s="32"/>
      <c r="L12" s="65"/>
    </row>
    <row r="13" spans="1:12" ht="26.1" customHeight="1" thickBot="1" x14ac:dyDescent="0.3">
      <c r="B13" s="7" t="s">
        <v>20</v>
      </c>
      <c r="C13" s="14" t="s">
        <v>15</v>
      </c>
      <c r="D13" s="9" t="s">
        <v>16</v>
      </c>
      <c r="J13" s="157" t="s">
        <v>7</v>
      </c>
      <c r="K13" s="32"/>
      <c r="L13" s="65"/>
    </row>
    <row r="14" spans="1:12" ht="26.1" customHeight="1" x14ac:dyDescent="0.25">
      <c r="B14" s="48" t="s">
        <v>21</v>
      </c>
      <c r="C14" s="147">
        <v>1.5</v>
      </c>
      <c r="D14" s="141"/>
      <c r="J14" s="157" t="s">
        <v>8</v>
      </c>
      <c r="K14" s="32"/>
      <c r="L14" s="65"/>
    </row>
    <row r="15" spans="1:12" ht="26.1" customHeight="1" x14ac:dyDescent="0.25">
      <c r="B15" s="49" t="s">
        <v>22</v>
      </c>
      <c r="C15" s="32">
        <v>1.45</v>
      </c>
      <c r="D15" s="135"/>
      <c r="J15" s="157" t="s">
        <v>9</v>
      </c>
      <c r="K15" s="32"/>
      <c r="L15" s="65"/>
    </row>
    <row r="16" spans="1:12" ht="26.1" customHeight="1" x14ac:dyDescent="0.25">
      <c r="B16" s="49" t="s">
        <v>23</v>
      </c>
      <c r="C16" s="32">
        <v>1.5</v>
      </c>
      <c r="D16" s="135"/>
      <c r="J16" s="157" t="s">
        <v>10</v>
      </c>
      <c r="K16" s="32"/>
      <c r="L16" s="65"/>
    </row>
    <row r="17" spans="2:12" ht="26.1" customHeight="1" thickBot="1" x14ac:dyDescent="0.3">
      <c r="B17" s="50" t="s">
        <v>24</v>
      </c>
      <c r="C17" s="136">
        <v>1.35</v>
      </c>
      <c r="D17" s="137"/>
      <c r="J17" s="157" t="s">
        <v>11</v>
      </c>
      <c r="K17" s="32"/>
      <c r="L17" s="65"/>
    </row>
    <row r="18" spans="2:12" ht="26.1" customHeight="1" x14ac:dyDescent="0.25">
      <c r="B18" s="129"/>
      <c r="C18" s="130"/>
      <c r="D18" s="6"/>
      <c r="J18" s="157" t="s">
        <v>12</v>
      </c>
      <c r="K18" s="32"/>
      <c r="L18" s="65"/>
    </row>
    <row r="19" spans="2:12" ht="26.1" customHeight="1" x14ac:dyDescent="0.25">
      <c r="B19" s="226" t="s">
        <v>367</v>
      </c>
      <c r="C19" s="226" t="s">
        <v>367</v>
      </c>
      <c r="D19" s="226"/>
      <c r="J19" s="157" t="s">
        <v>13</v>
      </c>
      <c r="K19" s="32"/>
      <c r="L19" s="65"/>
    </row>
    <row r="20" spans="2:12" ht="26.1" customHeight="1" thickBot="1" x14ac:dyDescent="0.3">
      <c r="B20" s="226" t="s">
        <v>392</v>
      </c>
      <c r="C20" s="226"/>
      <c r="D20" s="226"/>
      <c r="J20" s="158" t="s">
        <v>14</v>
      </c>
      <c r="K20" s="136"/>
      <c r="L20" s="67"/>
    </row>
    <row r="21" spans="2:12" ht="24" customHeight="1" thickBot="1" x14ac:dyDescent="0.35">
      <c r="J21" s="242" t="s">
        <v>29</v>
      </c>
      <c r="K21" s="243"/>
      <c r="L21" s="9" t="s">
        <v>16</v>
      </c>
    </row>
    <row r="22" spans="2:12" ht="26.1" customHeight="1" thickBot="1" x14ac:dyDescent="0.3">
      <c r="B22" s="267" t="s">
        <v>373</v>
      </c>
      <c r="C22" s="268"/>
      <c r="D22" s="269"/>
      <c r="J22" s="229" t="s">
        <v>17</v>
      </c>
      <c r="K22" s="230"/>
      <c r="L22" s="52" t="s">
        <v>137</v>
      </c>
    </row>
    <row r="23" spans="2:12" ht="26.1" customHeight="1" x14ac:dyDescent="0.25">
      <c r="B23" s="179" t="s">
        <v>369</v>
      </c>
      <c r="C23" s="182">
        <v>21</v>
      </c>
      <c r="D23" s="87"/>
      <c r="J23" s="215" t="s">
        <v>28</v>
      </c>
      <c r="K23" s="216"/>
      <c r="L23" s="52" t="s">
        <v>138</v>
      </c>
    </row>
    <row r="24" spans="2:12" ht="24.75" customHeight="1" x14ac:dyDescent="0.25">
      <c r="B24" s="180" t="s">
        <v>370</v>
      </c>
      <c r="C24" s="183">
        <v>27</v>
      </c>
      <c r="D24" s="164"/>
      <c r="J24" s="215"/>
      <c r="K24" s="216"/>
      <c r="L24" s="53"/>
    </row>
    <row r="25" spans="2:12" ht="25.5" customHeight="1" x14ac:dyDescent="0.25">
      <c r="B25" s="180" t="s">
        <v>371</v>
      </c>
      <c r="C25" s="183">
        <v>16.5</v>
      </c>
      <c r="D25" s="164"/>
      <c r="J25" s="215" t="s">
        <v>18</v>
      </c>
      <c r="K25" s="216"/>
      <c r="L25" s="54"/>
    </row>
    <row r="26" spans="2:12" ht="26.1" customHeight="1" thickBot="1" x14ac:dyDescent="0.3">
      <c r="B26" s="180" t="s">
        <v>372</v>
      </c>
      <c r="C26" s="184" t="s">
        <v>374</v>
      </c>
      <c r="D26" s="164"/>
      <c r="J26" s="232" t="s">
        <v>19</v>
      </c>
      <c r="K26" s="233"/>
      <c r="L26" s="55">
        <v>12</v>
      </c>
    </row>
    <row r="27" spans="2:12" ht="24" thickBot="1" x14ac:dyDescent="0.3">
      <c r="B27" s="181" t="s">
        <v>2</v>
      </c>
      <c r="C27" s="185" t="s">
        <v>394</v>
      </c>
      <c r="D27" s="137"/>
      <c r="J27" s="1" t="s">
        <v>114</v>
      </c>
      <c r="L27" s="6" t="s">
        <v>113</v>
      </c>
    </row>
    <row r="28" spans="2:12" ht="20.25" thickBot="1" x14ac:dyDescent="0.3">
      <c r="J28" s="7" t="s">
        <v>20</v>
      </c>
      <c r="K28" s="14" t="s">
        <v>15</v>
      </c>
      <c r="L28" s="9" t="s">
        <v>16</v>
      </c>
    </row>
    <row r="29" spans="2:12" ht="26.1" customHeight="1" thickBot="1" x14ac:dyDescent="0.3">
      <c r="B29" s="174" t="s">
        <v>375</v>
      </c>
      <c r="C29" s="170" t="s">
        <v>15</v>
      </c>
      <c r="D29" s="9"/>
      <c r="J29" s="48" t="s">
        <v>21</v>
      </c>
      <c r="K29" s="147">
        <v>1.5</v>
      </c>
      <c r="L29" s="141"/>
    </row>
    <row r="30" spans="2:12" ht="26.1" customHeight="1" x14ac:dyDescent="0.25">
      <c r="B30" s="175" t="s">
        <v>5</v>
      </c>
      <c r="C30" s="171">
        <v>4.5</v>
      </c>
      <c r="D30" s="141"/>
      <c r="J30" s="49" t="s">
        <v>22</v>
      </c>
      <c r="K30" s="32">
        <v>1.45</v>
      </c>
      <c r="L30" s="135"/>
    </row>
    <row r="31" spans="2:12" ht="26.1" customHeight="1" x14ac:dyDescent="0.25">
      <c r="B31" s="103" t="s">
        <v>6</v>
      </c>
      <c r="C31" s="172">
        <v>4</v>
      </c>
      <c r="D31" s="135"/>
      <c r="J31" s="49" t="s">
        <v>23</v>
      </c>
      <c r="K31" s="32">
        <v>1.5</v>
      </c>
      <c r="L31" s="135"/>
    </row>
    <row r="32" spans="2:12" ht="26.1" customHeight="1" thickBot="1" x14ac:dyDescent="0.3">
      <c r="B32" s="103" t="s">
        <v>377</v>
      </c>
      <c r="C32" s="172">
        <v>260</v>
      </c>
      <c r="D32" s="135"/>
      <c r="J32" s="50" t="s">
        <v>24</v>
      </c>
      <c r="K32" s="136">
        <v>1.35</v>
      </c>
      <c r="L32" s="137"/>
    </row>
    <row r="33" spans="2:12" ht="24" thickBot="1" x14ac:dyDescent="0.3">
      <c r="B33" s="176" t="s">
        <v>376</v>
      </c>
      <c r="C33" s="173">
        <v>0.98</v>
      </c>
      <c r="D33" s="137"/>
    </row>
    <row r="34" spans="2:12" ht="21" thickBot="1" x14ac:dyDescent="0.35">
      <c r="J34" s="256" t="s">
        <v>25</v>
      </c>
      <c r="K34" s="257"/>
      <c r="L34" s="258"/>
    </row>
    <row r="35" spans="2:12" ht="20.25" thickBot="1" x14ac:dyDescent="0.3">
      <c r="B35" s="264" t="s">
        <v>368</v>
      </c>
      <c r="C35" s="265"/>
      <c r="D35" s="266"/>
      <c r="J35" s="270" t="s">
        <v>140</v>
      </c>
      <c r="K35" s="271"/>
      <c r="L35" s="272"/>
    </row>
    <row r="36" spans="2:12" ht="20.25" thickBot="1" x14ac:dyDescent="0.3">
      <c r="B36" s="167"/>
      <c r="C36" s="168" t="s">
        <v>15</v>
      </c>
      <c r="D36" s="169" t="s">
        <v>378</v>
      </c>
      <c r="J36" s="262" t="s">
        <v>98</v>
      </c>
      <c r="K36" s="241"/>
      <c r="L36" s="263"/>
    </row>
    <row r="37" spans="2:12" ht="23.25" x14ac:dyDescent="0.25">
      <c r="B37" s="102" t="s">
        <v>21</v>
      </c>
      <c r="C37" s="171">
        <v>1.8</v>
      </c>
      <c r="D37" s="141" t="s">
        <v>379</v>
      </c>
      <c r="J37" s="262" t="s">
        <v>99</v>
      </c>
      <c r="K37" s="241"/>
      <c r="L37" s="263"/>
    </row>
    <row r="38" spans="2:12" ht="23.25" x14ac:dyDescent="0.25">
      <c r="B38" s="103" t="s">
        <v>22</v>
      </c>
      <c r="C38" s="172">
        <v>1.65</v>
      </c>
      <c r="D38" s="135"/>
      <c r="J38" s="262" t="s">
        <v>141</v>
      </c>
      <c r="K38" s="241"/>
      <c r="L38" s="263"/>
    </row>
    <row r="39" spans="2:12" ht="23.25" x14ac:dyDescent="0.25">
      <c r="B39" s="103" t="s">
        <v>23</v>
      </c>
      <c r="C39" s="177" t="s">
        <v>380</v>
      </c>
      <c r="D39" s="165"/>
      <c r="J39" s="262" t="s">
        <v>134</v>
      </c>
      <c r="K39" s="241"/>
      <c r="L39" s="263"/>
    </row>
    <row r="40" spans="2:12" ht="24" thickBot="1" x14ac:dyDescent="0.3">
      <c r="B40" s="176" t="s">
        <v>24</v>
      </c>
      <c r="C40" s="178" t="s">
        <v>380</v>
      </c>
      <c r="D40" s="166"/>
      <c r="J40" s="259" t="s">
        <v>139</v>
      </c>
      <c r="K40" s="260"/>
      <c r="L40" s="261"/>
    </row>
    <row r="41" spans="2:12" ht="20.25" thickBot="1" x14ac:dyDescent="0.3"/>
    <row r="42" spans="2:12" ht="21" thickBot="1" x14ac:dyDescent="0.35">
      <c r="B42" s="256" t="s">
        <v>25</v>
      </c>
      <c r="C42" s="257"/>
      <c r="D42" s="258"/>
    </row>
    <row r="43" spans="2:12" x14ac:dyDescent="0.25">
      <c r="B43" s="262"/>
      <c r="C43" s="241"/>
      <c r="D43" s="263"/>
    </row>
    <row r="44" spans="2:12" x14ac:dyDescent="0.25">
      <c r="B44" s="262"/>
      <c r="C44" s="241"/>
      <c r="D44" s="263"/>
    </row>
    <row r="45" spans="2:12" ht="20.25" thickBot="1" x14ac:dyDescent="0.3">
      <c r="B45" s="259"/>
      <c r="C45" s="260"/>
      <c r="D45" s="261"/>
    </row>
    <row r="46" spans="2:12" x14ac:dyDescent="0.25">
      <c r="B46" s="202"/>
      <c r="C46" s="202"/>
      <c r="D46" s="202"/>
    </row>
    <row r="47" spans="2:12" x14ac:dyDescent="0.25">
      <c r="B47" s="202"/>
      <c r="C47" s="202"/>
      <c r="D47" s="202"/>
    </row>
    <row r="48" spans="2:12"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row r="52" spans="2:4" x14ac:dyDescent="0.25">
      <c r="B52" s="202"/>
      <c r="C52" s="202"/>
      <c r="D52" s="202"/>
    </row>
  </sheetData>
  <mergeCells count="38">
    <mergeCell ref="J39:L39"/>
    <mergeCell ref="J40:L40"/>
    <mergeCell ref="B6:D6"/>
    <mergeCell ref="B9:C9"/>
    <mergeCell ref="B10:C10"/>
    <mergeCell ref="B20:D20"/>
    <mergeCell ref="B22:D22"/>
    <mergeCell ref="J34:L34"/>
    <mergeCell ref="J35:L35"/>
    <mergeCell ref="J36:L36"/>
    <mergeCell ref="J37:L37"/>
    <mergeCell ref="J38:L38"/>
    <mergeCell ref="J22:K22"/>
    <mergeCell ref="J23:K23"/>
    <mergeCell ref="J24:K24"/>
    <mergeCell ref="J25:K25"/>
    <mergeCell ref="J26:K26"/>
    <mergeCell ref="J2:L2"/>
    <mergeCell ref="J4:L4"/>
    <mergeCell ref="J7:K7"/>
    <mergeCell ref="J8:K8"/>
    <mergeCell ref="J21:K21"/>
    <mergeCell ref="B2:D2"/>
    <mergeCell ref="B4:D4"/>
    <mergeCell ref="B8:C8"/>
    <mergeCell ref="B42:D42"/>
    <mergeCell ref="B46:D46"/>
    <mergeCell ref="B45:D45"/>
    <mergeCell ref="B43:D43"/>
    <mergeCell ref="B44:D44"/>
    <mergeCell ref="B19:D19"/>
    <mergeCell ref="B35:D35"/>
    <mergeCell ref="B51:D51"/>
    <mergeCell ref="B52:D52"/>
    <mergeCell ref="B47:D47"/>
    <mergeCell ref="B48:D48"/>
    <mergeCell ref="B49:D49"/>
    <mergeCell ref="B50:D50"/>
  </mergeCells>
  <phoneticPr fontId="17" type="noConversion"/>
  <pageMargins left="0.75" right="0.75" top="1" bottom="1" header="0" footer="0"/>
  <pageSetup paperSize="9" scale="72" orientation="portrait" r:id="rId1"/>
  <headerFooter alignWithMargins="0">
    <oddHeader>&amp;L&amp;"Tahoma,Negrita"&amp;12   &amp;G
&amp;R&amp;"Tahoma,Negrita"&amp;12
Tren de Alambrón
Gijón</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tabColor rgb="FF92D050"/>
    <pageSetUpPr fitToPage="1"/>
  </sheetPr>
  <dimension ref="A1:P108"/>
  <sheetViews>
    <sheetView view="pageBreakPreview" zoomScale="70" zoomScaleNormal="100" zoomScaleSheetLayoutView="70" workbookViewId="0">
      <selection activeCell="K33" sqref="K33"/>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7" width="11.42578125" style="1"/>
    <col min="8" max="8" width="1" style="1" customWidth="1"/>
    <col min="9" max="9" width="11.7109375" style="1" customWidth="1"/>
    <col min="10" max="10" width="37.7109375" style="1" bestFit="1" customWidth="1"/>
    <col min="11" max="11" width="29.28515625" style="1" customWidth="1"/>
    <col min="12" max="12" width="40.85546875" style="1" customWidth="1"/>
    <col min="13" max="13" width="16" style="1" customWidth="1"/>
    <col min="14" max="16384" width="11.42578125" style="1"/>
  </cols>
  <sheetData>
    <row r="1" spans="1:16" ht="20.25" thickBot="1" x14ac:dyDescent="0.3">
      <c r="M1" s="57"/>
      <c r="N1" s="1" t="s">
        <v>451</v>
      </c>
      <c r="O1" s="1" t="str">
        <f>J28</f>
        <v>FREE-CUTTING</v>
      </c>
      <c r="P1" s="1" t="str">
        <f>J29</f>
        <v>CALIBRACION ACABADORA C27 (RODILLOS Ø13)</v>
      </c>
    </row>
    <row r="2" spans="1:16" ht="27.75" thickBot="1" x14ac:dyDescent="0.4">
      <c r="B2" s="211" t="s">
        <v>94</v>
      </c>
      <c r="C2" s="212"/>
      <c r="D2" s="213"/>
      <c r="J2" s="211" t="s">
        <v>94</v>
      </c>
      <c r="K2" s="212"/>
      <c r="L2" s="213"/>
      <c r="N2" s="1">
        <v>13</v>
      </c>
      <c r="O2" s="1" t="str">
        <f>K28</f>
        <v>FREE-CUTTING</v>
      </c>
      <c r="P2" s="1">
        <f>K29</f>
        <v>0</v>
      </c>
    </row>
    <row r="4" spans="1:16" x14ac:dyDescent="0.25">
      <c r="B4" s="214" t="s">
        <v>30</v>
      </c>
      <c r="C4" s="214"/>
      <c r="D4" s="214"/>
      <c r="J4" s="214" t="s">
        <v>30</v>
      </c>
      <c r="K4" s="214"/>
      <c r="L4" s="214"/>
    </row>
    <row r="5" spans="1:16" ht="9" customHeight="1" thickBot="1" x14ac:dyDescent="0.3"/>
    <row r="6" spans="1:16" ht="20.25" thickBot="1" x14ac:dyDescent="0.3">
      <c r="B6" s="2" t="s">
        <v>3</v>
      </c>
      <c r="C6" s="3"/>
      <c r="D6" s="4" t="s">
        <v>16</v>
      </c>
      <c r="J6" s="226" t="s">
        <v>325</v>
      </c>
      <c r="K6" s="226"/>
      <c r="L6" s="226"/>
    </row>
    <row r="7" spans="1:16" ht="12" customHeight="1" thickBot="1" x14ac:dyDescent="0.3">
      <c r="B7" s="227" t="s">
        <v>1</v>
      </c>
      <c r="C7" s="228"/>
      <c r="D7" s="18" t="s">
        <v>293</v>
      </c>
    </row>
    <row r="8" spans="1:16" ht="26.1" customHeight="1" thickBot="1" x14ac:dyDescent="0.3">
      <c r="B8" s="227" t="s">
        <v>2</v>
      </c>
      <c r="C8" s="228"/>
      <c r="D8" s="18" t="s">
        <v>95</v>
      </c>
      <c r="J8" s="242" t="s">
        <v>3</v>
      </c>
      <c r="K8" s="250"/>
      <c r="L8" s="9" t="s">
        <v>16</v>
      </c>
    </row>
    <row r="9" spans="1:16" ht="24" thickBot="1" x14ac:dyDescent="0.3">
      <c r="D9" s="6"/>
      <c r="J9" s="229" t="s">
        <v>1</v>
      </c>
      <c r="K9" s="230"/>
      <c r="L9" s="141" t="s">
        <v>293</v>
      </c>
    </row>
    <row r="10" spans="1:16" ht="24" thickBot="1" x14ac:dyDescent="0.3">
      <c r="B10" s="7" t="s">
        <v>4</v>
      </c>
      <c r="C10" s="8" t="s">
        <v>15</v>
      </c>
      <c r="D10" s="9" t="s">
        <v>16</v>
      </c>
      <c r="J10" s="253" t="s">
        <v>2</v>
      </c>
      <c r="K10" s="254"/>
      <c r="L10" s="137" t="s">
        <v>95</v>
      </c>
    </row>
    <row r="11" spans="1:16" ht="26.1" customHeight="1" thickBot="1" x14ac:dyDescent="0.3">
      <c r="B11" s="15" t="s">
        <v>5</v>
      </c>
      <c r="C11" s="18">
        <v>3.6</v>
      </c>
      <c r="D11" s="11"/>
      <c r="L11" s="6"/>
    </row>
    <row r="12" spans="1:16" ht="26.1" customHeight="1" thickBot="1" x14ac:dyDescent="0.35">
      <c r="A12" s="1" t="s">
        <v>428</v>
      </c>
      <c r="B12" s="15" t="s">
        <v>6</v>
      </c>
      <c r="C12" s="18">
        <v>3.45</v>
      </c>
      <c r="D12" s="30"/>
      <c r="J12" s="242" t="s">
        <v>29</v>
      </c>
      <c r="K12" s="243"/>
      <c r="L12" s="9" t="s">
        <v>16</v>
      </c>
    </row>
    <row r="13" spans="1:16" ht="26.1" customHeight="1" thickBot="1" x14ac:dyDescent="0.3">
      <c r="B13" s="15" t="s">
        <v>7</v>
      </c>
      <c r="C13" s="18"/>
      <c r="D13" s="30"/>
      <c r="J13" s="229" t="s">
        <v>17</v>
      </c>
      <c r="K13" s="230"/>
      <c r="L13" s="141" t="s">
        <v>296</v>
      </c>
    </row>
    <row r="14" spans="1:16" ht="26.1" customHeight="1" thickBot="1" x14ac:dyDescent="0.3">
      <c r="B14" s="15" t="s">
        <v>8</v>
      </c>
      <c r="C14" s="18"/>
      <c r="D14" s="30"/>
      <c r="J14" s="215" t="s">
        <v>28</v>
      </c>
      <c r="K14" s="216"/>
      <c r="L14" s="135" t="s">
        <v>295</v>
      </c>
    </row>
    <row r="15" spans="1:16" ht="26.1" customHeight="1" thickBot="1" x14ac:dyDescent="0.3">
      <c r="B15" s="15" t="s">
        <v>9</v>
      </c>
      <c r="C15" s="18"/>
      <c r="D15" s="30"/>
      <c r="J15" s="215" t="s">
        <v>18</v>
      </c>
      <c r="K15" s="216"/>
      <c r="L15" s="135" t="s">
        <v>294</v>
      </c>
    </row>
    <row r="16" spans="1:16" ht="26.1" customHeight="1" thickBot="1" x14ac:dyDescent="0.3">
      <c r="B16" s="15" t="s">
        <v>10</v>
      </c>
      <c r="C16" s="18"/>
      <c r="D16" s="30"/>
      <c r="J16" s="232" t="s">
        <v>19</v>
      </c>
      <c r="K16" s="233"/>
      <c r="L16" s="137">
        <v>4</v>
      </c>
    </row>
    <row r="17" spans="2:12" ht="26.1" customHeight="1" thickBot="1" x14ac:dyDescent="0.3">
      <c r="B17" s="15" t="s">
        <v>11</v>
      </c>
      <c r="C17" s="18"/>
      <c r="D17" s="11"/>
      <c r="J17" s="77"/>
      <c r="K17" s="77"/>
      <c r="L17" s="78"/>
    </row>
    <row r="18" spans="2:12" ht="26.1" customHeight="1" thickBot="1" x14ac:dyDescent="0.3">
      <c r="B18" s="15" t="s">
        <v>12</v>
      </c>
      <c r="C18" s="18"/>
      <c r="D18" s="11"/>
      <c r="J18" s="7" t="s">
        <v>20</v>
      </c>
      <c r="K18" s="14" t="s">
        <v>15</v>
      </c>
      <c r="L18" s="9" t="s">
        <v>16</v>
      </c>
    </row>
    <row r="19" spans="2:12" ht="26.1" customHeight="1" thickBot="1" x14ac:dyDescent="0.3">
      <c r="B19" s="15" t="s">
        <v>13</v>
      </c>
      <c r="C19" s="18"/>
      <c r="D19" s="11"/>
      <c r="J19" s="48" t="s">
        <v>21</v>
      </c>
      <c r="K19" s="147">
        <v>1.8</v>
      </c>
      <c r="L19" s="141"/>
    </row>
    <row r="20" spans="2:12" ht="26.1" customHeight="1" thickBot="1" x14ac:dyDescent="0.3">
      <c r="B20" s="15" t="s">
        <v>14</v>
      </c>
      <c r="C20" s="18"/>
      <c r="D20" s="11"/>
      <c r="J20" s="49" t="s">
        <v>22</v>
      </c>
      <c r="K20" s="32">
        <v>1.4</v>
      </c>
      <c r="L20" s="135"/>
    </row>
    <row r="21" spans="2:12" ht="24" thickBot="1" x14ac:dyDescent="0.35">
      <c r="B21" s="242" t="s">
        <v>29</v>
      </c>
      <c r="C21" s="243"/>
      <c r="D21" s="9" t="s">
        <v>16</v>
      </c>
      <c r="J21" s="49" t="s">
        <v>23</v>
      </c>
      <c r="K21" s="32">
        <v>1.45</v>
      </c>
      <c r="L21" s="135"/>
    </row>
    <row r="22" spans="2:12" ht="26.1" customHeight="1" thickBot="1" x14ac:dyDescent="0.3">
      <c r="B22" s="230" t="s">
        <v>17</v>
      </c>
      <c r="C22" s="230"/>
      <c r="D22" s="18" t="s">
        <v>296</v>
      </c>
      <c r="J22" s="50" t="s">
        <v>24</v>
      </c>
      <c r="K22" s="136">
        <v>1.35</v>
      </c>
      <c r="L22" s="137"/>
    </row>
    <row r="23" spans="2:12" ht="26.1" customHeight="1" thickBot="1" x14ac:dyDescent="0.3">
      <c r="B23" s="216" t="s">
        <v>28</v>
      </c>
      <c r="C23" s="216"/>
      <c r="D23" s="18" t="s">
        <v>295</v>
      </c>
      <c r="J23" s="60"/>
      <c r="K23" s="78"/>
      <c r="L23" s="78"/>
    </row>
    <row r="24" spans="2:12" ht="21" thickBot="1" x14ac:dyDescent="0.35">
      <c r="B24" s="216"/>
      <c r="C24" s="216"/>
      <c r="D24" s="5"/>
      <c r="J24" s="223" t="s">
        <v>25</v>
      </c>
      <c r="K24" s="224"/>
      <c r="L24" s="225"/>
    </row>
    <row r="25" spans="2:12" ht="26.1" customHeight="1" thickBot="1" x14ac:dyDescent="0.3">
      <c r="B25" s="216" t="s">
        <v>18</v>
      </c>
      <c r="C25" s="216"/>
      <c r="D25" s="18" t="s">
        <v>294</v>
      </c>
      <c r="J25" s="270" t="s">
        <v>297</v>
      </c>
      <c r="K25" s="271"/>
      <c r="L25" s="272"/>
    </row>
    <row r="26" spans="2:12" ht="26.1" customHeight="1" thickBot="1" x14ac:dyDescent="0.3">
      <c r="B26" s="216" t="s">
        <v>19</v>
      </c>
      <c r="C26" s="216"/>
      <c r="D26" s="18">
        <v>4</v>
      </c>
      <c r="J26" s="259" t="s">
        <v>307</v>
      </c>
      <c r="K26" s="260"/>
      <c r="L26" s="261"/>
    </row>
    <row r="27" spans="2:12" ht="14.25" customHeight="1" thickBot="1" x14ac:dyDescent="0.3">
      <c r="D27" s="6"/>
      <c r="J27" s="129"/>
      <c r="K27" s="130"/>
      <c r="L27" s="6"/>
    </row>
    <row r="28" spans="2:12" ht="20.25" thickBot="1" x14ac:dyDescent="0.3">
      <c r="B28" s="7" t="s">
        <v>20</v>
      </c>
      <c r="C28" s="14" t="s">
        <v>15</v>
      </c>
      <c r="D28" s="9" t="s">
        <v>16</v>
      </c>
      <c r="J28" s="226" t="s">
        <v>367</v>
      </c>
      <c r="K28" s="226" t="s">
        <v>367</v>
      </c>
      <c r="L28" s="226"/>
    </row>
    <row r="29" spans="2:12" ht="25.5" customHeight="1" thickBot="1" x14ac:dyDescent="0.3">
      <c r="B29" s="16" t="s">
        <v>21</v>
      </c>
      <c r="C29" s="18">
        <v>1.8</v>
      </c>
      <c r="D29" s="18"/>
      <c r="J29" s="226" t="s">
        <v>384</v>
      </c>
      <c r="K29" s="226"/>
      <c r="L29" s="226"/>
    </row>
    <row r="30" spans="2:12" ht="12" customHeight="1" thickBot="1" x14ac:dyDescent="0.3">
      <c r="B30" s="17" t="s">
        <v>22</v>
      </c>
      <c r="C30" s="18">
        <v>1.4</v>
      </c>
      <c r="D30" s="18"/>
    </row>
    <row r="31" spans="2:12" ht="26.1" customHeight="1" thickBot="1" x14ac:dyDescent="0.3">
      <c r="B31" s="17" t="s">
        <v>23</v>
      </c>
      <c r="C31" s="18">
        <v>1.45</v>
      </c>
      <c r="D31" s="18"/>
      <c r="J31" s="267" t="s">
        <v>373</v>
      </c>
      <c r="K31" s="268"/>
      <c r="L31" s="269"/>
    </row>
    <row r="32" spans="2:12" ht="26.1" customHeight="1" thickBot="1" x14ac:dyDescent="0.3">
      <c r="B32" s="17" t="s">
        <v>24</v>
      </c>
      <c r="C32" s="18">
        <v>1.35</v>
      </c>
      <c r="D32" s="18"/>
      <c r="J32" s="190" t="s">
        <v>369</v>
      </c>
      <c r="K32" s="191">
        <v>21</v>
      </c>
      <c r="L32" s="87"/>
    </row>
    <row r="33" spans="2:12" ht="21" thickBot="1" x14ac:dyDescent="0.3">
      <c r="J33" s="187" t="s">
        <v>370</v>
      </c>
      <c r="K33" s="186">
        <v>26.4</v>
      </c>
      <c r="L33" s="164"/>
    </row>
    <row r="34" spans="2:12" ht="20.25" x14ac:dyDescent="0.3">
      <c r="B34" s="238" t="s">
        <v>25</v>
      </c>
      <c r="C34" s="239"/>
      <c r="D34" s="240"/>
      <c r="J34" s="187" t="s">
        <v>371</v>
      </c>
      <c r="K34" s="186">
        <v>16.5</v>
      </c>
      <c r="L34" s="164"/>
    </row>
    <row r="35" spans="2:12" ht="20.25" x14ac:dyDescent="0.25">
      <c r="B35" s="241" t="s">
        <v>297</v>
      </c>
      <c r="C35" s="241"/>
      <c r="D35" s="241"/>
      <c r="J35" s="187" t="s">
        <v>372</v>
      </c>
      <c r="K35" s="23" t="s">
        <v>385</v>
      </c>
      <c r="L35" s="164"/>
    </row>
    <row r="36" spans="2:12" ht="24" thickBot="1" x14ac:dyDescent="0.3">
      <c r="B36" s="241" t="s">
        <v>300</v>
      </c>
      <c r="C36" s="241"/>
      <c r="D36" s="241"/>
      <c r="J36" s="188" t="s">
        <v>2</v>
      </c>
      <c r="K36" s="189" t="s">
        <v>386</v>
      </c>
      <c r="L36" s="137" t="s">
        <v>387</v>
      </c>
    </row>
    <row r="37" spans="2:12" ht="20.25" thickBot="1" x14ac:dyDescent="0.3">
      <c r="B37" s="241" t="s">
        <v>298</v>
      </c>
      <c r="C37" s="241"/>
      <c r="D37" s="241"/>
    </row>
    <row r="38" spans="2:12" ht="20.25" thickBot="1" x14ac:dyDescent="0.3">
      <c r="B38" s="241" t="s">
        <v>299</v>
      </c>
      <c r="C38" s="241"/>
      <c r="D38" s="241"/>
      <c r="J38" s="7" t="s">
        <v>375</v>
      </c>
      <c r="K38" s="14" t="s">
        <v>15</v>
      </c>
      <c r="L38" s="9"/>
    </row>
    <row r="39" spans="2:12" ht="23.25" x14ac:dyDescent="0.25">
      <c r="B39" s="241" t="s">
        <v>96</v>
      </c>
      <c r="C39" s="241"/>
      <c r="D39" s="241"/>
      <c r="J39" s="48" t="s">
        <v>5</v>
      </c>
      <c r="K39" s="147">
        <v>4</v>
      </c>
      <c r="L39" s="141"/>
    </row>
    <row r="40" spans="2:12" ht="23.25" x14ac:dyDescent="0.25">
      <c r="B40" s="241" t="s">
        <v>307</v>
      </c>
      <c r="C40" s="241"/>
      <c r="D40" s="241"/>
      <c r="J40" s="49" t="s">
        <v>6</v>
      </c>
      <c r="K40" s="32">
        <v>3.9</v>
      </c>
      <c r="L40" s="135"/>
    </row>
    <row r="41" spans="2:12" ht="23.25" x14ac:dyDescent="0.25">
      <c r="J41" s="49" t="s">
        <v>377</v>
      </c>
      <c r="K41" s="32" t="s">
        <v>389</v>
      </c>
      <c r="L41" s="135"/>
    </row>
    <row r="42" spans="2:12" ht="24" thickBot="1" x14ac:dyDescent="0.3">
      <c r="B42" s="202"/>
      <c r="C42" s="202"/>
      <c r="D42" s="202"/>
      <c r="J42" s="50" t="s">
        <v>376</v>
      </c>
      <c r="K42" s="192" t="s">
        <v>388</v>
      </c>
      <c r="L42" s="137"/>
    </row>
    <row r="43" spans="2:12" ht="20.25" thickBot="1" x14ac:dyDescent="0.3">
      <c r="B43" s="1" t="s">
        <v>301</v>
      </c>
    </row>
    <row r="44" spans="2:12" ht="20.25" thickBot="1" x14ac:dyDescent="0.3">
      <c r="B44" s="202"/>
      <c r="C44" s="202"/>
      <c r="D44" s="202"/>
      <c r="J44" s="242" t="s">
        <v>391</v>
      </c>
      <c r="K44" s="250"/>
      <c r="L44" s="273"/>
    </row>
    <row r="45" spans="2:12" ht="24" thickBot="1" x14ac:dyDescent="0.3">
      <c r="B45" s="202"/>
      <c r="C45" s="202"/>
      <c r="D45" s="202"/>
      <c r="J45" s="48" t="s">
        <v>21</v>
      </c>
      <c r="K45" s="147">
        <v>1.7</v>
      </c>
      <c r="L45" s="195" t="s">
        <v>378</v>
      </c>
    </row>
    <row r="46" spans="2:12" ht="23.25" x14ac:dyDescent="0.25">
      <c r="B46" s="202" t="s">
        <v>308</v>
      </c>
      <c r="C46" s="202"/>
      <c r="D46" s="202"/>
      <c r="J46" s="49" t="s">
        <v>22</v>
      </c>
      <c r="K46" s="32">
        <v>1.25</v>
      </c>
      <c r="L46" s="141" t="s">
        <v>390</v>
      </c>
    </row>
    <row r="47" spans="2:12" ht="23.25" x14ac:dyDescent="0.25">
      <c r="B47" s="202"/>
      <c r="C47" s="202"/>
      <c r="D47" s="202"/>
      <c r="J47" s="49" t="s">
        <v>23</v>
      </c>
      <c r="K47" s="193" t="s">
        <v>380</v>
      </c>
      <c r="L47" s="165"/>
    </row>
    <row r="48" spans="2:12" ht="24" thickBot="1" x14ac:dyDescent="0.3">
      <c r="B48" s="202"/>
      <c r="C48" s="202"/>
      <c r="D48" s="202"/>
      <c r="J48" s="50" t="s">
        <v>24</v>
      </c>
      <c r="K48" s="194" t="s">
        <v>380</v>
      </c>
      <c r="L48" s="166"/>
    </row>
    <row r="49" spans="2:4" x14ac:dyDescent="0.25">
      <c r="B49" s="202"/>
      <c r="C49" s="202"/>
      <c r="D49" s="202"/>
    </row>
    <row r="50" spans="2:4" x14ac:dyDescent="0.25">
      <c r="B50" s="202"/>
      <c r="C50" s="202"/>
      <c r="D50" s="202"/>
    </row>
    <row r="51" spans="2:4" x14ac:dyDescent="0.25">
      <c r="B51" s="202"/>
      <c r="C51" s="202"/>
      <c r="D51" s="202"/>
    </row>
    <row r="72" spans="3:3" x14ac:dyDescent="0.25">
      <c r="C72" s="62">
        <v>41374</v>
      </c>
    </row>
    <row r="104" spans="2:2" x14ac:dyDescent="0.25">
      <c r="B104" s="1" t="s">
        <v>305</v>
      </c>
    </row>
    <row r="105" spans="2:2" x14ac:dyDescent="0.25">
      <c r="B105" s="1" t="s">
        <v>303</v>
      </c>
    </row>
    <row r="106" spans="2:2" x14ac:dyDescent="0.25">
      <c r="B106" s="1" t="s">
        <v>304</v>
      </c>
    </row>
    <row r="108" spans="2:2" x14ac:dyDescent="0.25">
      <c r="B108" s="1" t="s">
        <v>306</v>
      </c>
    </row>
  </sheetData>
  <mergeCells count="44">
    <mergeCell ref="B2:D2"/>
    <mergeCell ref="B4:D4"/>
    <mergeCell ref="B35:D35"/>
    <mergeCell ref="B36:D36"/>
    <mergeCell ref="B21:C21"/>
    <mergeCell ref="B7:C7"/>
    <mergeCell ref="B8:C8"/>
    <mergeCell ref="B34:D34"/>
    <mergeCell ref="B22:C22"/>
    <mergeCell ref="B23:C23"/>
    <mergeCell ref="B24:C24"/>
    <mergeCell ref="B25:C25"/>
    <mergeCell ref="B42:D42"/>
    <mergeCell ref="B44:D44"/>
    <mergeCell ref="B45:D45"/>
    <mergeCell ref="B50:D50"/>
    <mergeCell ref="B26:C26"/>
    <mergeCell ref="B40:D40"/>
    <mergeCell ref="B37:D37"/>
    <mergeCell ref="B38:D38"/>
    <mergeCell ref="B39:D39"/>
    <mergeCell ref="B51:D51"/>
    <mergeCell ref="B46:D46"/>
    <mergeCell ref="B47:D47"/>
    <mergeCell ref="B48:D48"/>
    <mergeCell ref="B49:D49"/>
    <mergeCell ref="J2:L2"/>
    <mergeCell ref="J4:L4"/>
    <mergeCell ref="J6:L6"/>
    <mergeCell ref="J8:K8"/>
    <mergeCell ref="J9:K9"/>
    <mergeCell ref="J10:K10"/>
    <mergeCell ref="J28:L28"/>
    <mergeCell ref="J29:L29"/>
    <mergeCell ref="J31:L31"/>
    <mergeCell ref="J44:L44"/>
    <mergeCell ref="J12:K12"/>
    <mergeCell ref="J13:K13"/>
    <mergeCell ref="J14:K14"/>
    <mergeCell ref="J15:K15"/>
    <mergeCell ref="J16:K16"/>
    <mergeCell ref="J24:L24"/>
    <mergeCell ref="J25:L25"/>
    <mergeCell ref="J26:L26"/>
  </mergeCells>
  <phoneticPr fontId="17" type="noConversion"/>
  <pageMargins left="0.75" right="0.75" top="1" bottom="1" header="0" footer="0"/>
  <pageSetup paperSize="9" scale="64" orientation="portrait" r:id="rId1"/>
  <headerFooter alignWithMargins="0">
    <oddHeader>&amp;L&amp;"Tahoma,Negrita"&amp;12   &amp;G
&amp;R&amp;"Tahoma,Negrita"&amp;12
Tren de Alambrón
Gijón</oddHead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pageSetUpPr fitToPage="1"/>
  </sheetPr>
  <dimension ref="A1:E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38"/>
    </row>
    <row r="2" spans="1:5" ht="27.75" thickBot="1" x14ac:dyDescent="0.4">
      <c r="B2" s="211" t="s">
        <v>222</v>
      </c>
      <c r="C2" s="212"/>
      <c r="D2" s="213"/>
    </row>
    <row r="4" spans="1:5" x14ac:dyDescent="0.25">
      <c r="B4" s="214" t="s">
        <v>30</v>
      </c>
      <c r="C4" s="214"/>
      <c r="D4" s="214"/>
    </row>
    <row r="5" spans="1:5" ht="20.25" thickBot="1" x14ac:dyDescent="0.3"/>
    <row r="6" spans="1:5" ht="20.25" thickBot="1" x14ac:dyDescent="0.3">
      <c r="B6" s="2" t="s">
        <v>3</v>
      </c>
      <c r="C6" s="3"/>
      <c r="D6" s="4" t="s">
        <v>16</v>
      </c>
    </row>
    <row r="7" spans="1:5" ht="26.1" customHeight="1" thickBot="1" x14ac:dyDescent="0.3">
      <c r="B7" s="227" t="s">
        <v>1</v>
      </c>
      <c r="C7" s="228"/>
      <c r="D7" s="18" t="s">
        <v>158</v>
      </c>
    </row>
    <row r="8" spans="1:5" ht="26.1" customHeight="1" thickBot="1" x14ac:dyDescent="0.3">
      <c r="B8" s="227" t="s">
        <v>2</v>
      </c>
      <c r="C8" s="228"/>
      <c r="D8" s="18" t="s">
        <v>121</v>
      </c>
    </row>
    <row r="9" spans="1:5" ht="20.25" thickBot="1" x14ac:dyDescent="0.3">
      <c r="D9" s="6"/>
    </row>
    <row r="10" spans="1:5" ht="20.25" thickBot="1" x14ac:dyDescent="0.3">
      <c r="B10" s="7" t="s">
        <v>4</v>
      </c>
      <c r="C10" s="8" t="s">
        <v>15</v>
      </c>
      <c r="D10" s="9" t="s">
        <v>16</v>
      </c>
    </row>
    <row r="11" spans="1:5" ht="26.1" customHeight="1" thickBot="1" x14ac:dyDescent="0.3">
      <c r="B11" s="15" t="s">
        <v>5</v>
      </c>
      <c r="C11" s="18">
        <v>3.6</v>
      </c>
      <c r="D11" s="11"/>
    </row>
    <row r="12" spans="1:5" ht="26.1" customHeight="1" thickBot="1" x14ac:dyDescent="0.3">
      <c r="B12" s="15" t="s">
        <v>6</v>
      </c>
      <c r="C12" s="18">
        <v>3.4</v>
      </c>
      <c r="D12" s="30"/>
    </row>
    <row r="13" spans="1:5" ht="26.1" customHeight="1" thickBot="1" x14ac:dyDescent="0.3">
      <c r="A13" s="1">
        <v>13</v>
      </c>
      <c r="B13" s="15" t="s">
        <v>7</v>
      </c>
      <c r="C13" s="18"/>
      <c r="D13" s="30"/>
    </row>
    <row r="14" spans="1:5" ht="26.1" customHeight="1" thickBot="1" x14ac:dyDescent="0.3">
      <c r="B14" s="15" t="s">
        <v>8</v>
      </c>
      <c r="C14" s="18"/>
      <c r="D14" s="30"/>
    </row>
    <row r="15" spans="1:5" ht="26.1" customHeight="1" thickBot="1" x14ac:dyDescent="0.3">
      <c r="B15" s="15" t="s">
        <v>9</v>
      </c>
      <c r="C15" s="18"/>
      <c r="D15" s="30"/>
    </row>
    <row r="16" spans="1:5" ht="26.1" customHeight="1" thickBot="1" x14ac:dyDescent="0.3">
      <c r="B16" s="15" t="s">
        <v>10</v>
      </c>
      <c r="C16" s="18"/>
      <c r="D16" s="30"/>
    </row>
    <row r="17" spans="2:4" ht="26.1" customHeight="1" thickBot="1" x14ac:dyDescent="0.3">
      <c r="B17" s="15" t="s">
        <v>11</v>
      </c>
      <c r="C17" s="18"/>
      <c r="D17" s="11"/>
    </row>
    <row r="18" spans="2:4" ht="26.1" customHeight="1" thickBot="1" x14ac:dyDescent="0.3">
      <c r="B18" s="15" t="s">
        <v>12</v>
      </c>
      <c r="C18" s="18"/>
      <c r="D18" s="11"/>
    </row>
    <row r="19" spans="2:4" ht="26.1" customHeight="1" thickBot="1" x14ac:dyDescent="0.3">
      <c r="B19" s="15" t="s">
        <v>13</v>
      </c>
      <c r="C19" s="18"/>
      <c r="D19" s="11"/>
    </row>
    <row r="20" spans="2:4" ht="26.1" customHeight="1" thickBot="1" x14ac:dyDescent="0.3">
      <c r="B20" s="15" t="s">
        <v>14</v>
      </c>
      <c r="C20" s="18"/>
      <c r="D20" s="11"/>
    </row>
    <row r="21" spans="2:4" ht="21" thickBot="1" x14ac:dyDescent="0.35">
      <c r="B21" s="242" t="s">
        <v>29</v>
      </c>
      <c r="C21" s="243"/>
      <c r="D21" s="9" t="s">
        <v>16</v>
      </c>
    </row>
    <row r="22" spans="2:4" ht="26.1" customHeight="1" x14ac:dyDescent="0.3">
      <c r="B22" s="230" t="s">
        <v>17</v>
      </c>
      <c r="C22" s="230"/>
      <c r="D22" s="35">
        <v>334</v>
      </c>
    </row>
    <row r="23" spans="2:4" ht="26.1" customHeight="1" x14ac:dyDescent="0.3">
      <c r="B23" s="216" t="s">
        <v>28</v>
      </c>
      <c r="C23" s="216"/>
      <c r="D23" s="35"/>
    </row>
    <row r="24" spans="2:4" ht="22.5" x14ac:dyDescent="0.3">
      <c r="B24" s="216"/>
      <c r="C24" s="216"/>
      <c r="D24" s="34"/>
    </row>
    <row r="25" spans="2:4" ht="26.1" customHeight="1" x14ac:dyDescent="0.3">
      <c r="B25" s="216" t="s">
        <v>18</v>
      </c>
      <c r="C25" s="216"/>
      <c r="D25" s="36" t="s">
        <v>0</v>
      </c>
    </row>
    <row r="26" spans="2:4" ht="26.1" customHeight="1" x14ac:dyDescent="0.3">
      <c r="B26" s="216" t="s">
        <v>19</v>
      </c>
      <c r="C26" s="216"/>
      <c r="D26" s="36">
        <v>3</v>
      </c>
    </row>
    <row r="27" spans="2:4" ht="20.25" thickBot="1" x14ac:dyDescent="0.3">
      <c r="D27" s="6"/>
    </row>
    <row r="28" spans="2:4" ht="20.25" thickBot="1" x14ac:dyDescent="0.3">
      <c r="B28" s="7" t="s">
        <v>20</v>
      </c>
      <c r="C28" s="14" t="s">
        <v>15</v>
      </c>
      <c r="D28" s="9" t="s">
        <v>16</v>
      </c>
    </row>
    <row r="29" spans="2:4" ht="26.1" customHeight="1" thickBot="1" x14ac:dyDescent="0.3">
      <c r="B29" s="16" t="s">
        <v>21</v>
      </c>
      <c r="C29" s="18" t="s">
        <v>221</v>
      </c>
      <c r="D29" s="18"/>
    </row>
    <row r="30" spans="2:4" ht="26.1" customHeight="1" thickBot="1" x14ac:dyDescent="0.3">
      <c r="B30" s="17" t="s">
        <v>22</v>
      </c>
      <c r="C30" s="18">
        <v>1.45</v>
      </c>
      <c r="D30" s="18"/>
    </row>
    <row r="31" spans="2:4" ht="26.1" customHeight="1" thickBot="1" x14ac:dyDescent="0.3">
      <c r="B31" s="17" t="s">
        <v>23</v>
      </c>
      <c r="C31" s="18">
        <v>1.45</v>
      </c>
      <c r="D31" s="18"/>
    </row>
    <row r="32" spans="2:4" ht="26.1" customHeight="1" thickBot="1" x14ac:dyDescent="0.3">
      <c r="B32" s="17" t="s">
        <v>24</v>
      </c>
      <c r="C32" s="18">
        <v>1.45</v>
      </c>
      <c r="D32" s="18"/>
    </row>
    <row r="33" spans="2:4" ht="20.25" thickBot="1" x14ac:dyDescent="0.3"/>
    <row r="34" spans="2:4" ht="20.25" x14ac:dyDescent="0.3">
      <c r="B34" s="238" t="s">
        <v>25</v>
      </c>
      <c r="C34" s="239"/>
      <c r="D34" s="240"/>
    </row>
    <row r="35" spans="2:4" x14ac:dyDescent="0.25">
      <c r="B35" s="241"/>
      <c r="C35" s="241"/>
      <c r="D35" s="241"/>
    </row>
    <row r="36" spans="2:4" x14ac:dyDescent="0.25">
      <c r="B36" s="241" t="s">
        <v>220</v>
      </c>
      <c r="C36" s="241"/>
      <c r="D36" s="241"/>
    </row>
    <row r="37" spans="2:4" x14ac:dyDescent="0.25">
      <c r="B37" s="274"/>
      <c r="C37" s="274"/>
      <c r="D37" s="274"/>
    </row>
    <row r="38" spans="2:4" x14ac:dyDescent="0.25">
      <c r="B38" s="274"/>
      <c r="C38" s="274"/>
      <c r="D38" s="274"/>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2">
    <tabColor rgb="FF92D050"/>
    <pageSetUpPr fitToPage="1"/>
  </sheetPr>
  <dimension ref="A1:I50"/>
  <sheetViews>
    <sheetView view="pageBreakPreview" topLeftCell="A13" zoomScaleNormal="100" zoomScaleSheetLayoutView="100" workbookViewId="0">
      <selection activeCell="F1" sqref="F1:H2"/>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9" ht="20.25" thickBot="1" x14ac:dyDescent="0.3">
      <c r="E1" s="38"/>
      <c r="F1" s="1" t="s">
        <v>451</v>
      </c>
      <c r="G1" s="1" t="str">
        <f>B28</f>
        <v>C 26</v>
      </c>
      <c r="H1" s="1" t="str">
        <f>B29</f>
        <v>C 27</v>
      </c>
    </row>
    <row r="2" spans="1:9" ht="27.75" thickBot="1" x14ac:dyDescent="0.4">
      <c r="B2" s="211" t="s">
        <v>93</v>
      </c>
      <c r="C2" s="212"/>
      <c r="D2" s="213"/>
      <c r="F2" s="1">
        <v>13</v>
      </c>
      <c r="G2" s="1">
        <f>C28</f>
        <v>1.75</v>
      </c>
      <c r="H2" s="1">
        <f>C29</f>
        <v>1.1499999999999999</v>
      </c>
    </row>
    <row r="4" spans="1:9" x14ac:dyDescent="0.25">
      <c r="B4" s="214" t="s">
        <v>30</v>
      </c>
      <c r="C4" s="214"/>
      <c r="D4" s="214"/>
    </row>
    <row r="5" spans="1:9" ht="20.25" thickBot="1" x14ac:dyDescent="0.3"/>
    <row r="6" spans="1:9" ht="20.25" thickBot="1" x14ac:dyDescent="0.3">
      <c r="B6" s="2" t="s">
        <v>3</v>
      </c>
      <c r="C6" s="3"/>
      <c r="D6" s="4" t="s">
        <v>16</v>
      </c>
    </row>
    <row r="7" spans="1:9" ht="26.1" customHeight="1" thickBot="1" x14ac:dyDescent="0.3">
      <c r="B7" s="227" t="s">
        <v>1</v>
      </c>
      <c r="C7" s="228"/>
      <c r="D7" s="18" t="s">
        <v>158</v>
      </c>
    </row>
    <row r="8" spans="1:9" ht="26.1" customHeight="1" thickBot="1" x14ac:dyDescent="0.3">
      <c r="B8" s="227" t="s">
        <v>2</v>
      </c>
      <c r="C8" s="228"/>
      <c r="D8" s="18" t="s">
        <v>121</v>
      </c>
    </row>
    <row r="9" spans="1:9" ht="20.25" thickBot="1" x14ac:dyDescent="0.3">
      <c r="D9" s="6"/>
    </row>
    <row r="10" spans="1:9" ht="20.25" thickBot="1" x14ac:dyDescent="0.3">
      <c r="B10" s="7" t="s">
        <v>4</v>
      </c>
      <c r="C10" s="8" t="s">
        <v>15</v>
      </c>
      <c r="D10" s="9" t="s">
        <v>381</v>
      </c>
    </row>
    <row r="11" spans="1:9" ht="26.1" customHeight="1" thickBot="1" x14ac:dyDescent="0.3">
      <c r="B11" s="15" t="s">
        <v>5</v>
      </c>
      <c r="C11" s="18">
        <v>3.6</v>
      </c>
      <c r="D11" s="11">
        <v>4</v>
      </c>
    </row>
    <row r="12" spans="1:9" ht="26.1" customHeight="1" thickBot="1" x14ac:dyDescent="0.3">
      <c r="B12" s="15" t="s">
        <v>6</v>
      </c>
      <c r="C12" s="18">
        <v>3.5</v>
      </c>
      <c r="D12" s="30">
        <v>3.5</v>
      </c>
    </row>
    <row r="13" spans="1:9" ht="21" thickBot="1" x14ac:dyDescent="0.35">
      <c r="B13" s="242" t="s">
        <v>29</v>
      </c>
      <c r="C13" s="243"/>
      <c r="D13" s="9" t="s">
        <v>16</v>
      </c>
      <c r="H13" s="12" t="s">
        <v>232</v>
      </c>
      <c r="I13" s="12" t="s">
        <v>233</v>
      </c>
    </row>
    <row r="14" spans="1:9" ht="26.1" customHeight="1" x14ac:dyDescent="0.3">
      <c r="A14" s="1" t="s">
        <v>429</v>
      </c>
      <c r="B14" s="230" t="s">
        <v>17</v>
      </c>
      <c r="C14" s="230"/>
      <c r="D14" s="35" t="s">
        <v>159</v>
      </c>
      <c r="H14" s="12">
        <v>238</v>
      </c>
      <c r="I14" s="12">
        <v>238</v>
      </c>
    </row>
    <row r="15" spans="1:9" ht="26.1" customHeight="1" x14ac:dyDescent="0.3">
      <c r="B15" s="216" t="s">
        <v>28</v>
      </c>
      <c r="C15" s="216"/>
      <c r="D15" s="35" t="s">
        <v>160</v>
      </c>
      <c r="H15" s="12"/>
      <c r="I15" s="12"/>
    </row>
    <row r="16" spans="1:9" ht="22.5" x14ac:dyDescent="0.3">
      <c r="B16" s="216"/>
      <c r="C16" s="216"/>
      <c r="D16" s="34"/>
      <c r="H16" s="12"/>
      <c r="I16" s="12"/>
    </row>
    <row r="17" spans="2:9" ht="26.1" customHeight="1" x14ac:dyDescent="0.3">
      <c r="B17" s="216" t="s">
        <v>18</v>
      </c>
      <c r="C17" s="216"/>
      <c r="D17" s="36" t="s">
        <v>161</v>
      </c>
      <c r="H17" s="12" t="s">
        <v>284</v>
      </c>
      <c r="I17" s="12" t="s">
        <v>285</v>
      </c>
    </row>
    <row r="18" spans="2:9" ht="26.1" customHeight="1" x14ac:dyDescent="0.3">
      <c r="B18" s="216" t="s">
        <v>19</v>
      </c>
      <c r="C18" s="216"/>
      <c r="D18" s="36">
        <v>2</v>
      </c>
      <c r="H18" s="12"/>
      <c r="I18" s="12"/>
    </row>
    <row r="19" spans="2:9" ht="20.25" thickBot="1" x14ac:dyDescent="0.3">
      <c r="D19" s="6"/>
      <c r="H19" s="12"/>
      <c r="I19" s="12"/>
    </row>
    <row r="20" spans="2:9" ht="20.25" thickBot="1" x14ac:dyDescent="0.3">
      <c r="B20" s="7" t="s">
        <v>20</v>
      </c>
      <c r="C20" s="14" t="s">
        <v>15</v>
      </c>
      <c r="D20" s="9" t="s">
        <v>393</v>
      </c>
      <c r="H20" s="12"/>
      <c r="I20" s="12"/>
    </row>
    <row r="21" spans="2:9" ht="26.1" customHeight="1" thickBot="1" x14ac:dyDescent="0.3">
      <c r="B21" s="16" t="s">
        <v>21</v>
      </c>
      <c r="C21" s="18">
        <v>1.5</v>
      </c>
      <c r="D21" s="18">
        <v>1.5</v>
      </c>
      <c r="H21" s="12" t="s">
        <v>286</v>
      </c>
      <c r="I21" s="12" t="s">
        <v>290</v>
      </c>
    </row>
    <row r="22" spans="2:9" ht="26.1" customHeight="1" thickBot="1" x14ac:dyDescent="0.3">
      <c r="B22" s="17" t="s">
        <v>22</v>
      </c>
      <c r="C22" s="18">
        <v>1.45</v>
      </c>
      <c r="D22" s="18">
        <v>1.3</v>
      </c>
      <c r="H22" s="12" t="s">
        <v>287</v>
      </c>
      <c r="I22" s="12" t="s">
        <v>291</v>
      </c>
    </row>
    <row r="23" spans="2:9" ht="26.1" customHeight="1" thickBot="1" x14ac:dyDescent="0.3">
      <c r="B23" s="17" t="s">
        <v>23</v>
      </c>
      <c r="C23" s="18">
        <v>1.45</v>
      </c>
      <c r="D23" s="18" t="s">
        <v>383</v>
      </c>
      <c r="H23" s="12" t="s">
        <v>288</v>
      </c>
      <c r="I23" s="12" t="s">
        <v>291</v>
      </c>
    </row>
    <row r="24" spans="2:9" ht="26.1" customHeight="1" thickBot="1" x14ac:dyDescent="0.3">
      <c r="B24" s="17" t="s">
        <v>24</v>
      </c>
      <c r="C24" s="18">
        <v>1.35</v>
      </c>
      <c r="D24" s="18"/>
      <c r="H24" s="12" t="s">
        <v>289</v>
      </c>
      <c r="I24" s="12" t="s">
        <v>221</v>
      </c>
    </row>
    <row r="25" spans="2:9" ht="26.1" customHeight="1" thickBot="1" x14ac:dyDescent="0.3">
      <c r="B25" s="60"/>
      <c r="C25" s="78"/>
      <c r="D25" s="78"/>
      <c r="H25" s="6"/>
      <c r="I25" s="6"/>
    </row>
    <row r="26" spans="2:9" ht="26.1" customHeight="1" thickBot="1" x14ac:dyDescent="0.3">
      <c r="B26" s="264" t="s">
        <v>395</v>
      </c>
      <c r="C26" s="265"/>
      <c r="D26" s="266"/>
      <c r="H26" s="6"/>
      <c r="I26" s="6"/>
    </row>
    <row r="27" spans="2:9" ht="26.1" customHeight="1" thickBot="1" x14ac:dyDescent="0.3">
      <c r="B27" s="167"/>
      <c r="C27" s="168" t="s">
        <v>15</v>
      </c>
      <c r="D27" s="169" t="s">
        <v>378</v>
      </c>
      <c r="H27" s="6"/>
      <c r="I27" s="6"/>
    </row>
    <row r="28" spans="2:9" ht="26.1" customHeight="1" x14ac:dyDescent="0.25">
      <c r="B28" s="102" t="s">
        <v>21</v>
      </c>
      <c r="C28" s="171">
        <v>1.75</v>
      </c>
      <c r="D28" s="141">
        <v>132</v>
      </c>
      <c r="H28" s="6"/>
      <c r="I28" s="6"/>
    </row>
    <row r="29" spans="2:9" ht="26.1" customHeight="1" x14ac:dyDescent="0.25">
      <c r="B29" s="103" t="s">
        <v>22</v>
      </c>
      <c r="C29" s="172">
        <v>1.1499999999999999</v>
      </c>
      <c r="D29" s="135"/>
      <c r="H29" s="6"/>
      <c r="I29" s="6"/>
    </row>
    <row r="30" spans="2:9" ht="26.1" customHeight="1" x14ac:dyDescent="0.25">
      <c r="B30" s="275" t="s">
        <v>396</v>
      </c>
      <c r="C30" s="276"/>
      <c r="D30" s="277"/>
      <c r="H30" s="6"/>
      <c r="I30" s="6"/>
    </row>
    <row r="31" spans="2:9" ht="26.1" customHeight="1" thickBot="1" x14ac:dyDescent="0.3">
      <c r="B31" s="278"/>
      <c r="C31" s="279"/>
      <c r="D31" s="280"/>
      <c r="H31" s="6"/>
      <c r="I31" s="6"/>
    </row>
    <row r="32" spans="2:9" ht="20.25" thickBot="1" x14ac:dyDescent="0.3">
      <c r="D32" s="6" t="s">
        <v>382</v>
      </c>
    </row>
    <row r="33" spans="2:4" ht="20.25" x14ac:dyDescent="0.3">
      <c r="B33" s="238" t="s">
        <v>25</v>
      </c>
      <c r="C33" s="239"/>
      <c r="D33" s="240"/>
    </row>
    <row r="34" spans="2:4" x14ac:dyDescent="0.25">
      <c r="B34" s="241" t="s">
        <v>122</v>
      </c>
      <c r="C34" s="241"/>
      <c r="D34" s="241"/>
    </row>
    <row r="35" spans="2:4" x14ac:dyDescent="0.25">
      <c r="B35" s="241" t="s">
        <v>123</v>
      </c>
      <c r="C35" s="241"/>
      <c r="D35" s="241"/>
    </row>
    <row r="36" spans="2:4" x14ac:dyDescent="0.25">
      <c r="B36" s="274" t="s">
        <v>171</v>
      </c>
      <c r="C36" s="274"/>
      <c r="D36" s="274"/>
    </row>
    <row r="37" spans="2:4" x14ac:dyDescent="0.25">
      <c r="B37" s="274" t="s">
        <v>170</v>
      </c>
      <c r="C37" s="274"/>
      <c r="D37" s="274"/>
    </row>
    <row r="38" spans="2:4" x14ac:dyDescent="0.25">
      <c r="B38" s="241"/>
      <c r="C38" s="241"/>
      <c r="D38" s="241"/>
    </row>
    <row r="39" spans="2:4" x14ac:dyDescent="0.25">
      <c r="B39" s="241"/>
      <c r="C39" s="241"/>
      <c r="D39" s="241"/>
    </row>
    <row r="41" spans="2:4" x14ac:dyDescent="0.25">
      <c r="B41" s="202"/>
      <c r="C41" s="202"/>
      <c r="D41" s="202"/>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sheetData>
  <mergeCells count="29">
    <mergeCell ref="B2:D2"/>
    <mergeCell ref="B4:D4"/>
    <mergeCell ref="B34:D34"/>
    <mergeCell ref="B35:D35"/>
    <mergeCell ref="B13:C13"/>
    <mergeCell ref="B7:C7"/>
    <mergeCell ref="B8:C8"/>
    <mergeCell ref="B33:D33"/>
    <mergeCell ref="B14:C14"/>
    <mergeCell ref="B15:C15"/>
    <mergeCell ref="B16:C16"/>
    <mergeCell ref="B17:C17"/>
    <mergeCell ref="B41:D41"/>
    <mergeCell ref="B42:D42"/>
    <mergeCell ref="B18:C18"/>
    <mergeCell ref="B26:D26"/>
    <mergeCell ref="B30:D31"/>
    <mergeCell ref="B39:D39"/>
    <mergeCell ref="B36:D36"/>
    <mergeCell ref="B37:D37"/>
    <mergeCell ref="B38:D38"/>
    <mergeCell ref="B43:D43"/>
    <mergeCell ref="B44:D44"/>
    <mergeCell ref="B49:D49"/>
    <mergeCell ref="B50:D50"/>
    <mergeCell ref="B45:D45"/>
    <mergeCell ref="B46:D46"/>
    <mergeCell ref="B47:D47"/>
    <mergeCell ref="B48:D48"/>
  </mergeCells>
  <phoneticPr fontId="17" type="noConversion"/>
  <pageMargins left="0.75" right="0.75" top="1" bottom="1" header="0" footer="0"/>
  <pageSetup paperSize="9" scale="78" orientation="portrait" r:id="rId1"/>
  <headerFooter alignWithMargins="0">
    <oddHeader>&amp;L&amp;"Tahoma,Negrita"&amp;12   &amp;G
&amp;R&amp;"Tahoma,Negrita"&amp;12
Tren de Alambrón
Gijón</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3">
    <pageSetUpPr fitToPage="1"/>
  </sheetPr>
  <dimension ref="A1:E51"/>
  <sheetViews>
    <sheetView view="pageBreakPreview" zoomScale="40" zoomScaleNormal="100" zoomScaleSheetLayoutView="40" workbookViewId="0">
      <selection activeCell="E38" sqref="E3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38"/>
    </row>
    <row r="2" spans="1:5" ht="27.75" thickBot="1" x14ac:dyDescent="0.4">
      <c r="B2" s="211" t="s">
        <v>118</v>
      </c>
      <c r="C2" s="212"/>
      <c r="D2" s="213"/>
    </row>
    <row r="4" spans="1:5" x14ac:dyDescent="0.25">
      <c r="B4" s="214" t="s">
        <v>30</v>
      </c>
      <c r="C4" s="214"/>
      <c r="D4" s="214"/>
    </row>
    <row r="5" spans="1:5" ht="20.25" thickBot="1" x14ac:dyDescent="0.3"/>
    <row r="6" spans="1:5" ht="20.25" thickBot="1" x14ac:dyDescent="0.3">
      <c r="B6" s="2" t="s">
        <v>3</v>
      </c>
      <c r="C6" s="3"/>
      <c r="D6" s="4" t="s">
        <v>16</v>
      </c>
    </row>
    <row r="7" spans="1:5" ht="26.1" customHeight="1" thickBot="1" x14ac:dyDescent="0.3">
      <c r="B7" s="227" t="s">
        <v>1</v>
      </c>
      <c r="C7" s="228"/>
      <c r="D7" s="18" t="s">
        <v>115</v>
      </c>
    </row>
    <row r="8" spans="1:5" ht="26.1" customHeight="1" thickBot="1" x14ac:dyDescent="0.3">
      <c r="B8" s="227" t="s">
        <v>2</v>
      </c>
      <c r="C8" s="228"/>
      <c r="D8" s="18" t="s">
        <v>116</v>
      </c>
    </row>
    <row r="9" spans="1:5" ht="20.25" thickBot="1" x14ac:dyDescent="0.3">
      <c r="D9" s="6"/>
    </row>
    <row r="10" spans="1:5" ht="20.25" thickBot="1" x14ac:dyDescent="0.3">
      <c r="B10" s="7" t="s">
        <v>4</v>
      </c>
      <c r="C10" s="8" t="s">
        <v>15</v>
      </c>
      <c r="D10" s="9" t="s">
        <v>16</v>
      </c>
    </row>
    <row r="11" spans="1:5" ht="26.1" customHeight="1" thickBot="1" x14ac:dyDescent="0.3">
      <c r="B11" s="15" t="s">
        <v>5</v>
      </c>
      <c r="C11" s="18">
        <v>3.6</v>
      </c>
      <c r="D11" s="11"/>
    </row>
    <row r="12" spans="1:5" ht="26.1" customHeight="1" thickBot="1" x14ac:dyDescent="0.3">
      <c r="B12" s="15" t="s">
        <v>6</v>
      </c>
      <c r="C12" s="18">
        <v>3.4</v>
      </c>
      <c r="D12" s="30"/>
    </row>
    <row r="13" spans="1:5" ht="26.1" customHeight="1" thickBot="1" x14ac:dyDescent="0.3">
      <c r="B13" s="15" t="s">
        <v>7</v>
      </c>
      <c r="C13" s="18"/>
      <c r="D13" s="30"/>
    </row>
    <row r="14" spans="1:5" ht="26.1" customHeight="1" thickBot="1" x14ac:dyDescent="0.3">
      <c r="B14" s="15" t="s">
        <v>8</v>
      </c>
      <c r="C14" s="18"/>
      <c r="D14" s="30"/>
    </row>
    <row r="15" spans="1:5" ht="26.1" customHeight="1" thickBot="1" x14ac:dyDescent="0.3">
      <c r="A15" s="1">
        <v>12</v>
      </c>
      <c r="B15" s="15" t="s">
        <v>9</v>
      </c>
      <c r="C15" s="18"/>
      <c r="D15" s="30"/>
    </row>
    <row r="16" spans="1:5" ht="26.1" customHeight="1" thickBot="1" x14ac:dyDescent="0.3">
      <c r="B16" s="15" t="s">
        <v>10</v>
      </c>
      <c r="C16" s="18"/>
      <c r="D16" s="30"/>
    </row>
    <row r="17" spans="2:4" ht="26.1" customHeight="1" thickBot="1" x14ac:dyDescent="0.3">
      <c r="B17" s="15" t="s">
        <v>11</v>
      </c>
      <c r="C17" s="18"/>
      <c r="D17" s="11"/>
    </row>
    <row r="18" spans="2:4" ht="26.1" customHeight="1" thickBot="1" x14ac:dyDescent="0.3">
      <c r="B18" s="15" t="s">
        <v>12</v>
      </c>
      <c r="C18" s="18"/>
      <c r="D18" s="11"/>
    </row>
    <row r="19" spans="2:4" ht="26.1" customHeight="1" thickBot="1" x14ac:dyDescent="0.3">
      <c r="B19" s="15" t="s">
        <v>13</v>
      </c>
      <c r="C19" s="18"/>
      <c r="D19" s="11"/>
    </row>
    <row r="20" spans="2:4" ht="26.1" customHeight="1" thickBot="1" x14ac:dyDescent="0.3">
      <c r="B20" s="15" t="s">
        <v>14</v>
      </c>
      <c r="C20" s="18"/>
      <c r="D20" s="11"/>
    </row>
    <row r="21" spans="2:4" ht="21" thickBot="1" x14ac:dyDescent="0.35">
      <c r="B21" s="242" t="s">
        <v>29</v>
      </c>
      <c r="C21" s="243"/>
      <c r="D21" s="9" t="s">
        <v>16</v>
      </c>
    </row>
    <row r="22" spans="2:4" ht="26.1" customHeight="1" x14ac:dyDescent="0.25">
      <c r="B22" s="230" t="s">
        <v>17</v>
      </c>
      <c r="C22" s="230"/>
      <c r="D22" s="33" t="s">
        <v>117</v>
      </c>
    </row>
    <row r="23" spans="2:4" ht="26.1" customHeight="1" x14ac:dyDescent="0.25">
      <c r="B23" s="216" t="s">
        <v>28</v>
      </c>
      <c r="C23" s="216"/>
      <c r="D23" s="33" t="s">
        <v>169</v>
      </c>
    </row>
    <row r="24" spans="2:4" ht="20.25" thickBot="1" x14ac:dyDescent="0.3">
      <c r="B24" s="216"/>
      <c r="C24" s="216"/>
      <c r="D24" s="5"/>
    </row>
    <row r="25" spans="2:4" ht="26.1" customHeight="1" thickBot="1" x14ac:dyDescent="0.3">
      <c r="B25" s="216" t="s">
        <v>18</v>
      </c>
      <c r="C25" s="216"/>
      <c r="D25" s="18" t="s">
        <v>92</v>
      </c>
    </row>
    <row r="26" spans="2:4" ht="26.1" customHeight="1" thickBot="1" x14ac:dyDescent="0.3">
      <c r="B26" s="216" t="s">
        <v>19</v>
      </c>
      <c r="C26" s="216"/>
      <c r="D26" s="18">
        <v>3</v>
      </c>
    </row>
    <row r="27" spans="2:4" ht="20.25" thickBot="1" x14ac:dyDescent="0.3">
      <c r="D27" s="6"/>
    </row>
    <row r="28" spans="2:4" ht="20.25" thickBot="1" x14ac:dyDescent="0.3">
      <c r="B28" s="7" t="s">
        <v>20</v>
      </c>
      <c r="C28" s="14" t="s">
        <v>15</v>
      </c>
      <c r="D28" s="9" t="s">
        <v>16</v>
      </c>
    </row>
    <row r="29" spans="2:4" ht="26.1" customHeight="1" thickBot="1" x14ac:dyDescent="0.3">
      <c r="B29" s="16" t="s">
        <v>21</v>
      </c>
      <c r="C29" s="18">
        <v>1.45</v>
      </c>
      <c r="D29" s="18"/>
    </row>
    <row r="30" spans="2:4" ht="26.1" customHeight="1" thickBot="1" x14ac:dyDescent="0.3">
      <c r="B30" s="17" t="s">
        <v>22</v>
      </c>
      <c r="C30" s="18">
        <v>1.4</v>
      </c>
      <c r="D30" s="18"/>
    </row>
    <row r="31" spans="2:4" ht="26.1" customHeight="1" thickBot="1" x14ac:dyDescent="0.3">
      <c r="B31" s="17" t="s">
        <v>23</v>
      </c>
      <c r="C31" s="18">
        <v>1.45</v>
      </c>
      <c r="D31" s="18"/>
    </row>
    <row r="32" spans="2:4" ht="26.1" customHeight="1" thickBot="1" x14ac:dyDescent="0.3">
      <c r="B32" s="17" t="s">
        <v>24</v>
      </c>
      <c r="C32" s="18">
        <v>1.4</v>
      </c>
      <c r="D32" s="18"/>
    </row>
    <row r="33" spans="2:4" ht="20.25" thickBot="1" x14ac:dyDescent="0.3"/>
    <row r="34" spans="2:4" ht="20.25" x14ac:dyDescent="0.3">
      <c r="B34" s="238" t="s">
        <v>25</v>
      </c>
      <c r="C34" s="239"/>
      <c r="D34" s="240"/>
    </row>
    <row r="35" spans="2:4" x14ac:dyDescent="0.25">
      <c r="B35" s="241" t="s">
        <v>119</v>
      </c>
      <c r="C35" s="241"/>
      <c r="D35" s="241"/>
    </row>
    <row r="36" spans="2:4" x14ac:dyDescent="0.25">
      <c r="B36" s="241" t="s">
        <v>120</v>
      </c>
      <c r="C36" s="241"/>
      <c r="D36" s="241"/>
    </row>
    <row r="37" spans="2:4" x14ac:dyDescent="0.25">
      <c r="B37" s="241"/>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14">
    <pageSetUpPr fitToPage="1"/>
  </sheetPr>
  <dimension ref="A1:E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1:5" ht="20.25" thickBot="1" x14ac:dyDescent="0.3">
      <c r="E1" s="38"/>
    </row>
    <row r="2" spans="1:5" ht="27.75" thickBot="1" x14ac:dyDescent="0.4">
      <c r="B2" s="211" t="s">
        <v>143</v>
      </c>
      <c r="C2" s="212"/>
      <c r="D2" s="213"/>
    </row>
    <row r="4" spans="1:5" x14ac:dyDescent="0.25">
      <c r="B4" s="214" t="s">
        <v>30</v>
      </c>
      <c r="C4" s="214"/>
      <c r="D4" s="214"/>
    </row>
    <row r="5" spans="1:5" ht="20.25" thickBot="1" x14ac:dyDescent="0.3"/>
    <row r="6" spans="1:5" ht="20.25" thickBot="1" x14ac:dyDescent="0.3">
      <c r="B6" s="2" t="s">
        <v>3</v>
      </c>
      <c r="C6" s="3"/>
      <c r="D6" s="4" t="s">
        <v>16</v>
      </c>
    </row>
    <row r="7" spans="1:5" ht="26.1" customHeight="1" thickBot="1" x14ac:dyDescent="0.3">
      <c r="B7" s="227" t="s">
        <v>1</v>
      </c>
      <c r="C7" s="228"/>
      <c r="D7" s="18" t="s">
        <v>162</v>
      </c>
    </row>
    <row r="8" spans="1:5" ht="26.1" customHeight="1" thickBot="1" x14ac:dyDescent="0.3">
      <c r="B8" s="227" t="s">
        <v>2</v>
      </c>
      <c r="C8" s="228"/>
      <c r="D8" s="18" t="s">
        <v>91</v>
      </c>
    </row>
    <row r="9" spans="1:5" ht="20.25" thickBot="1" x14ac:dyDescent="0.3">
      <c r="D9" s="6"/>
    </row>
    <row r="10" spans="1:5" ht="20.25" thickBot="1" x14ac:dyDescent="0.3">
      <c r="B10" s="7" t="s">
        <v>4</v>
      </c>
      <c r="C10" s="8" t="s">
        <v>15</v>
      </c>
      <c r="D10" s="9" t="s">
        <v>16</v>
      </c>
    </row>
    <row r="11" spans="1:5" ht="26.1" customHeight="1" thickBot="1" x14ac:dyDescent="0.3">
      <c r="B11" s="15" t="s">
        <v>5</v>
      </c>
      <c r="C11" s="18">
        <v>3.6</v>
      </c>
      <c r="D11" s="11"/>
    </row>
    <row r="12" spans="1:5" ht="26.1" customHeight="1" thickBot="1" x14ac:dyDescent="0.3">
      <c r="B12" s="15" t="s">
        <v>6</v>
      </c>
      <c r="C12" s="18">
        <v>3.4</v>
      </c>
      <c r="D12" s="30"/>
    </row>
    <row r="13" spans="1:5" ht="26.1" customHeight="1" thickBot="1" x14ac:dyDescent="0.3">
      <c r="B13" s="15" t="s">
        <v>7</v>
      </c>
      <c r="C13" s="18"/>
      <c r="D13" s="30"/>
    </row>
    <row r="14" spans="1:5" ht="26.1" customHeight="1" thickBot="1" x14ac:dyDescent="0.3">
      <c r="B14" s="15" t="s">
        <v>8</v>
      </c>
      <c r="C14" s="18"/>
      <c r="D14" s="30"/>
    </row>
    <row r="15" spans="1:5" ht="26.1" customHeight="1" thickBot="1" x14ac:dyDescent="0.3">
      <c r="B15" s="15" t="s">
        <v>9</v>
      </c>
      <c r="C15" s="18"/>
      <c r="D15" s="30"/>
    </row>
    <row r="16" spans="1:5" ht="26.1" customHeight="1" thickBot="1" x14ac:dyDescent="0.3">
      <c r="A16" s="1" t="s">
        <v>430</v>
      </c>
      <c r="B16" s="15" t="s">
        <v>10</v>
      </c>
      <c r="C16" s="18"/>
      <c r="D16" s="30"/>
    </row>
    <row r="17" spans="2:4" ht="26.1" customHeight="1" thickBot="1" x14ac:dyDescent="0.3">
      <c r="B17" s="15" t="s">
        <v>11</v>
      </c>
      <c r="C17" s="18"/>
      <c r="D17" s="11"/>
    </row>
    <row r="18" spans="2:4" ht="26.1" customHeight="1" thickBot="1" x14ac:dyDescent="0.3">
      <c r="B18" s="15" t="s">
        <v>12</v>
      </c>
      <c r="C18" s="18"/>
      <c r="D18" s="11"/>
    </row>
    <row r="19" spans="2:4" ht="26.1" customHeight="1" thickBot="1" x14ac:dyDescent="0.3">
      <c r="B19" s="15" t="s">
        <v>13</v>
      </c>
      <c r="C19" s="18"/>
      <c r="D19" s="11"/>
    </row>
    <row r="20" spans="2:4" ht="26.1" customHeight="1" thickBot="1" x14ac:dyDescent="0.3">
      <c r="B20" s="15" t="s">
        <v>14</v>
      </c>
      <c r="C20" s="18"/>
      <c r="D20" s="11"/>
    </row>
    <row r="21" spans="2:4" ht="21" thickBot="1" x14ac:dyDescent="0.35">
      <c r="B21" s="242" t="s">
        <v>29</v>
      </c>
      <c r="C21" s="243"/>
      <c r="D21" s="9" t="s">
        <v>16</v>
      </c>
    </row>
    <row r="22" spans="2:4" ht="26.1" customHeight="1" x14ac:dyDescent="0.25">
      <c r="B22" s="230" t="s">
        <v>17</v>
      </c>
      <c r="C22" s="230"/>
      <c r="D22" s="33" t="s">
        <v>163</v>
      </c>
    </row>
    <row r="23" spans="2:4" ht="26.1" customHeight="1" x14ac:dyDescent="0.25">
      <c r="B23" s="216" t="s">
        <v>28</v>
      </c>
      <c r="C23" s="216"/>
      <c r="D23" s="33" t="s">
        <v>126</v>
      </c>
    </row>
    <row r="24" spans="2:4" ht="20.25" thickBot="1" x14ac:dyDescent="0.3">
      <c r="B24" s="216"/>
      <c r="C24" s="216"/>
      <c r="D24" s="5"/>
    </row>
    <row r="25" spans="2:4" ht="26.1" customHeight="1" thickBot="1" x14ac:dyDescent="0.3">
      <c r="B25" s="216" t="s">
        <v>18</v>
      </c>
      <c r="C25" s="216"/>
      <c r="D25" s="18" t="s">
        <v>92</v>
      </c>
    </row>
    <row r="26" spans="2:4" ht="26.1" customHeight="1" thickBot="1" x14ac:dyDescent="0.3">
      <c r="B26" s="216" t="s">
        <v>19</v>
      </c>
      <c r="C26" s="216"/>
      <c r="D26" s="18">
        <v>4</v>
      </c>
    </row>
    <row r="27" spans="2:4" ht="20.25" thickBot="1" x14ac:dyDescent="0.3">
      <c r="D27" s="6"/>
    </row>
    <row r="28" spans="2:4" ht="20.25" thickBot="1" x14ac:dyDescent="0.3">
      <c r="B28" s="7" t="s">
        <v>20</v>
      </c>
      <c r="C28" s="14" t="s">
        <v>15</v>
      </c>
      <c r="D28" s="9" t="s">
        <v>16</v>
      </c>
    </row>
    <row r="29" spans="2:4" ht="26.1" customHeight="1" thickBot="1" x14ac:dyDescent="0.3">
      <c r="B29" s="16" t="s">
        <v>21</v>
      </c>
      <c r="C29" s="18">
        <v>1.5</v>
      </c>
      <c r="D29" s="18"/>
    </row>
    <row r="30" spans="2:4" ht="26.1" customHeight="1" thickBot="1" x14ac:dyDescent="0.3">
      <c r="B30" s="17" t="s">
        <v>22</v>
      </c>
      <c r="C30" s="18">
        <v>1.4</v>
      </c>
      <c r="D30" s="18"/>
    </row>
    <row r="31" spans="2:4" ht="26.1" customHeight="1" thickBot="1" x14ac:dyDescent="0.3">
      <c r="B31" s="17" t="s">
        <v>23</v>
      </c>
      <c r="C31" s="18">
        <v>1.5</v>
      </c>
      <c r="D31" s="18"/>
    </row>
    <row r="32" spans="2:4" ht="26.1" customHeight="1" thickBot="1" x14ac:dyDescent="0.3">
      <c r="B32" s="17" t="s">
        <v>24</v>
      </c>
      <c r="C32" s="18">
        <v>1.4</v>
      </c>
      <c r="D32" s="18"/>
    </row>
    <row r="33" spans="2:4" ht="20.25" thickBot="1" x14ac:dyDescent="0.3"/>
    <row r="34" spans="2:4" ht="20.25" x14ac:dyDescent="0.3">
      <c r="B34" s="238" t="s">
        <v>25</v>
      </c>
      <c r="C34" s="239"/>
      <c r="D34" s="240"/>
    </row>
    <row r="35" spans="2:4" x14ac:dyDescent="0.25">
      <c r="B35" s="241" t="s">
        <v>112</v>
      </c>
      <c r="C35" s="241"/>
      <c r="D35" s="241"/>
    </row>
    <row r="36" spans="2:4" x14ac:dyDescent="0.25">
      <c r="B36" s="241"/>
      <c r="C36" s="241"/>
      <c r="D36" s="241"/>
    </row>
    <row r="37" spans="2:4" x14ac:dyDescent="0.25">
      <c r="B37" s="241" t="s">
        <v>142</v>
      </c>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15">
    <pageSetUpPr fitToPage="1"/>
  </sheetPr>
  <dimension ref="A1:E51"/>
  <sheetViews>
    <sheetView view="pageBreakPreview" zoomScale="40" zoomScaleNormal="100" zoomScaleSheetLayoutView="40" workbookViewId="0">
      <selection activeCell="C17" sqref="C17"/>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5" ht="20.25" thickBot="1" x14ac:dyDescent="0.3"/>
    <row r="2" spans="2:5" ht="27.75" thickBot="1" x14ac:dyDescent="0.4">
      <c r="B2" s="211" t="s">
        <v>89</v>
      </c>
      <c r="C2" s="212"/>
      <c r="D2" s="213"/>
      <c r="E2" s="37"/>
    </row>
    <row r="4" spans="2:5" x14ac:dyDescent="0.25">
      <c r="B4" s="214" t="s">
        <v>30</v>
      </c>
      <c r="C4" s="214"/>
      <c r="D4" s="214"/>
    </row>
    <row r="5" spans="2:5" ht="20.25" thickBot="1" x14ac:dyDescent="0.3"/>
    <row r="6" spans="2:5" ht="20.25" thickBot="1" x14ac:dyDescent="0.3">
      <c r="B6" s="2" t="s">
        <v>3</v>
      </c>
      <c r="C6" s="3"/>
      <c r="D6" s="4" t="s">
        <v>16</v>
      </c>
    </row>
    <row r="7" spans="2:5" ht="26.1" customHeight="1" thickBot="1" x14ac:dyDescent="0.3">
      <c r="B7" s="227" t="s">
        <v>1</v>
      </c>
      <c r="C7" s="228"/>
      <c r="D7" s="18" t="s">
        <v>273</v>
      </c>
    </row>
    <row r="8" spans="2:5" ht="26.1" customHeight="1" thickBot="1" x14ac:dyDescent="0.3">
      <c r="B8" s="227" t="s">
        <v>2</v>
      </c>
      <c r="C8" s="228"/>
      <c r="D8" s="18" t="s">
        <v>274</v>
      </c>
    </row>
    <row r="9" spans="2:5" ht="20.25" thickBot="1" x14ac:dyDescent="0.3">
      <c r="D9" s="6"/>
    </row>
    <row r="10" spans="2:5" ht="20.25" thickBot="1" x14ac:dyDescent="0.3">
      <c r="B10" s="7" t="s">
        <v>4</v>
      </c>
      <c r="C10" s="8" t="s">
        <v>15</v>
      </c>
      <c r="D10" s="9" t="s">
        <v>16</v>
      </c>
    </row>
    <row r="11" spans="2:5" ht="26.1" customHeight="1" thickBot="1" x14ac:dyDescent="0.3">
      <c r="B11" s="15" t="s">
        <v>5</v>
      </c>
      <c r="C11" s="18">
        <v>3.6</v>
      </c>
      <c r="D11" s="11"/>
    </row>
    <row r="12" spans="2:5" ht="26.1" customHeight="1" thickBot="1" x14ac:dyDescent="0.3">
      <c r="B12" s="15" t="s">
        <v>6</v>
      </c>
      <c r="C12" s="18">
        <v>3.4</v>
      </c>
      <c r="D12" s="30"/>
    </row>
    <row r="13" spans="2:5" ht="26.1" customHeight="1" thickBot="1" x14ac:dyDescent="0.3">
      <c r="B13" s="15" t="s">
        <v>7</v>
      </c>
      <c r="C13" s="18">
        <v>3.48</v>
      </c>
      <c r="D13" s="30"/>
    </row>
    <row r="14" spans="2:5" ht="26.1" customHeight="1" thickBot="1" x14ac:dyDescent="0.3">
      <c r="B14" s="15" t="s">
        <v>8</v>
      </c>
      <c r="C14" s="18">
        <v>2.2200000000000002</v>
      </c>
      <c r="D14" s="30"/>
    </row>
    <row r="15" spans="2:5" ht="26.1" customHeight="1" thickBot="1" x14ac:dyDescent="0.3">
      <c r="B15" s="15" t="s">
        <v>9</v>
      </c>
      <c r="C15" s="18"/>
      <c r="D15" s="30"/>
    </row>
    <row r="16" spans="2:5" ht="26.1" customHeight="1" thickBot="1" x14ac:dyDescent="0.3">
      <c r="B16" s="15" t="s">
        <v>10</v>
      </c>
      <c r="C16" s="18"/>
      <c r="D16" s="30"/>
    </row>
    <row r="17" spans="1:4" ht="26.1" customHeight="1" thickBot="1" x14ac:dyDescent="0.3">
      <c r="A17" s="1" t="s">
        <v>431</v>
      </c>
      <c r="B17" s="15" t="s">
        <v>11</v>
      </c>
      <c r="C17" s="18"/>
      <c r="D17" s="11"/>
    </row>
    <row r="18" spans="1:4" ht="26.1" customHeight="1" thickBot="1" x14ac:dyDescent="0.3">
      <c r="B18" s="15" t="s">
        <v>12</v>
      </c>
      <c r="C18" s="18"/>
      <c r="D18" s="11"/>
    </row>
    <row r="19" spans="1:4" ht="26.1" customHeight="1" thickBot="1" x14ac:dyDescent="0.3">
      <c r="B19" s="15" t="s">
        <v>13</v>
      </c>
      <c r="C19" s="18"/>
      <c r="D19" s="11"/>
    </row>
    <row r="20" spans="1:4" ht="26.1" customHeight="1" thickBot="1" x14ac:dyDescent="0.3">
      <c r="B20" s="15" t="s">
        <v>14</v>
      </c>
      <c r="C20" s="18"/>
      <c r="D20" s="11"/>
    </row>
    <row r="21" spans="1:4" ht="21" thickBot="1" x14ac:dyDescent="0.35">
      <c r="B21" s="242" t="s">
        <v>29</v>
      </c>
      <c r="C21" s="243"/>
      <c r="D21" s="9" t="s">
        <v>16</v>
      </c>
    </row>
    <row r="22" spans="1:4" ht="26.1" customHeight="1" x14ac:dyDescent="0.25">
      <c r="B22" s="230" t="s">
        <v>17</v>
      </c>
      <c r="C22" s="230"/>
      <c r="D22" s="33" t="s">
        <v>278</v>
      </c>
    </row>
    <row r="23" spans="1:4" ht="26.1" customHeight="1" x14ac:dyDescent="0.25">
      <c r="B23" s="216" t="s">
        <v>28</v>
      </c>
      <c r="C23" s="216"/>
      <c r="D23" s="33" t="s">
        <v>279</v>
      </c>
    </row>
    <row r="24" spans="1:4" x14ac:dyDescent="0.25">
      <c r="B24" s="216"/>
      <c r="C24" s="216"/>
      <c r="D24" s="5"/>
    </row>
    <row r="25" spans="1:4" ht="26.1" customHeight="1" x14ac:dyDescent="0.25">
      <c r="B25" s="216" t="s">
        <v>18</v>
      </c>
      <c r="C25" s="216"/>
      <c r="D25" s="10" t="s">
        <v>92</v>
      </c>
    </row>
    <row r="26" spans="1:4" ht="26.1" customHeight="1" x14ac:dyDescent="0.25">
      <c r="B26" s="216" t="s">
        <v>19</v>
      </c>
      <c r="C26" s="216"/>
      <c r="D26" s="10"/>
    </row>
    <row r="27" spans="1:4" ht="20.25" thickBot="1" x14ac:dyDescent="0.3">
      <c r="D27" s="6"/>
    </row>
    <row r="28" spans="1:4" ht="20.25" thickBot="1" x14ac:dyDescent="0.3">
      <c r="B28" s="7" t="s">
        <v>20</v>
      </c>
      <c r="C28" s="14" t="s">
        <v>15</v>
      </c>
      <c r="D28" s="9" t="s">
        <v>16</v>
      </c>
    </row>
    <row r="29" spans="1:4" ht="26.1" customHeight="1" thickBot="1" x14ac:dyDescent="0.35">
      <c r="B29" s="16" t="s">
        <v>21</v>
      </c>
      <c r="C29" s="42">
        <v>1.55</v>
      </c>
      <c r="D29" s="18"/>
    </row>
    <row r="30" spans="1:4" ht="26.1" customHeight="1" thickBot="1" x14ac:dyDescent="0.35">
      <c r="B30" s="17" t="s">
        <v>22</v>
      </c>
      <c r="C30" s="42">
        <v>1.35</v>
      </c>
      <c r="D30" s="18"/>
    </row>
    <row r="31" spans="1:4" ht="26.1" customHeight="1" thickBot="1" x14ac:dyDescent="0.35">
      <c r="B31" s="17" t="s">
        <v>23</v>
      </c>
      <c r="C31" s="42">
        <v>1.45</v>
      </c>
      <c r="D31" s="18"/>
    </row>
    <row r="32" spans="1:4" ht="26.1" customHeight="1" thickBot="1" x14ac:dyDescent="0.35">
      <c r="B32" s="17" t="s">
        <v>24</v>
      </c>
      <c r="C32" s="42">
        <v>1.35</v>
      </c>
      <c r="D32" s="18"/>
    </row>
    <row r="33" spans="2:4" ht="20.25" thickBot="1" x14ac:dyDescent="0.3"/>
    <row r="34" spans="2:4" ht="20.25" x14ac:dyDescent="0.3">
      <c r="B34" s="238" t="s">
        <v>25</v>
      </c>
      <c r="C34" s="239"/>
      <c r="D34" s="240"/>
    </row>
    <row r="35" spans="2:4" x14ac:dyDescent="0.25">
      <c r="B35" s="241" t="s">
        <v>275</v>
      </c>
      <c r="C35" s="241"/>
      <c r="D35" s="241"/>
    </row>
    <row r="36" spans="2:4" x14ac:dyDescent="0.25">
      <c r="B36" s="241" t="s">
        <v>276</v>
      </c>
      <c r="C36" s="241"/>
      <c r="D36" s="241"/>
    </row>
    <row r="37" spans="2:4" x14ac:dyDescent="0.25">
      <c r="B37" s="241" t="s">
        <v>277</v>
      </c>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6">
    <pageSetUpPr fitToPage="1"/>
  </sheetPr>
  <dimension ref="A1:G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7" ht="20.25" thickBot="1" x14ac:dyDescent="0.3">
      <c r="E1" s="38"/>
    </row>
    <row r="2" spans="2:7" ht="27.75" thickBot="1" x14ac:dyDescent="0.4">
      <c r="B2" s="211" t="s">
        <v>86</v>
      </c>
      <c r="C2" s="212"/>
      <c r="D2" s="213"/>
    </row>
    <row r="4" spans="2:7" x14ac:dyDescent="0.25">
      <c r="B4" s="214" t="s">
        <v>30</v>
      </c>
      <c r="C4" s="214"/>
      <c r="D4" s="214"/>
    </row>
    <row r="5" spans="2:7" ht="20.25" thickBot="1" x14ac:dyDescent="0.3"/>
    <row r="6" spans="2:7" ht="20.25" thickBot="1" x14ac:dyDescent="0.3">
      <c r="B6" s="2" t="s">
        <v>3</v>
      </c>
      <c r="C6" s="3"/>
      <c r="D6" s="4" t="s">
        <v>16</v>
      </c>
    </row>
    <row r="7" spans="2:7" ht="26.1" customHeight="1" thickBot="1" x14ac:dyDescent="0.3">
      <c r="B7" s="227" t="s">
        <v>1</v>
      </c>
      <c r="C7" s="228"/>
      <c r="D7" s="18" t="s">
        <v>124</v>
      </c>
      <c r="F7" s="56" t="s">
        <v>217</v>
      </c>
      <c r="G7" s="56" t="s">
        <v>218</v>
      </c>
    </row>
    <row r="8" spans="2:7" ht="26.1" customHeight="1" thickBot="1" x14ac:dyDescent="0.3">
      <c r="B8" s="227" t="s">
        <v>2</v>
      </c>
      <c r="C8" s="228"/>
      <c r="D8" s="18" t="s">
        <v>280</v>
      </c>
    </row>
    <row r="9" spans="2:7" ht="20.25" thickBot="1" x14ac:dyDescent="0.3">
      <c r="D9" s="6"/>
    </row>
    <row r="10" spans="2:7" ht="20.25" thickBot="1" x14ac:dyDescent="0.3">
      <c r="B10" s="7" t="s">
        <v>4</v>
      </c>
      <c r="C10" s="8" t="s">
        <v>15</v>
      </c>
      <c r="D10" s="9" t="s">
        <v>16</v>
      </c>
    </row>
    <row r="11" spans="2:7" ht="26.1" customHeight="1" thickBot="1" x14ac:dyDescent="0.3">
      <c r="B11" s="15" t="s">
        <v>5</v>
      </c>
      <c r="C11" s="18">
        <v>3.7</v>
      </c>
      <c r="D11" s="11"/>
    </row>
    <row r="12" spans="2:7" ht="26.1" customHeight="1" thickBot="1" x14ac:dyDescent="0.3">
      <c r="B12" s="15" t="s">
        <v>6</v>
      </c>
      <c r="C12" s="18">
        <v>3.4</v>
      </c>
      <c r="D12" s="30"/>
    </row>
    <row r="13" spans="2:7" ht="26.1" customHeight="1" thickBot="1" x14ac:dyDescent="0.3">
      <c r="B13" s="15" t="s">
        <v>7</v>
      </c>
      <c r="C13" s="18">
        <v>3.48</v>
      </c>
      <c r="D13" s="30"/>
    </row>
    <row r="14" spans="2:7" ht="26.1" customHeight="1" thickBot="1" x14ac:dyDescent="0.3">
      <c r="B14" s="15" t="s">
        <v>8</v>
      </c>
      <c r="C14" s="18">
        <v>2.1</v>
      </c>
      <c r="D14" s="30"/>
    </row>
    <row r="15" spans="2:7" ht="26.1" customHeight="1" thickBot="1" x14ac:dyDescent="0.3">
      <c r="B15" s="15" t="s">
        <v>9</v>
      </c>
      <c r="C15" s="18"/>
      <c r="D15" s="30"/>
    </row>
    <row r="16" spans="2:7" ht="26.1" customHeight="1" thickBot="1" x14ac:dyDescent="0.3">
      <c r="B16" s="15" t="s">
        <v>10</v>
      </c>
      <c r="C16" s="18"/>
      <c r="D16" s="30"/>
    </row>
    <row r="17" spans="1:7" ht="26.1" customHeight="1" thickBot="1" x14ac:dyDescent="0.3">
      <c r="B17" s="15" t="s">
        <v>11</v>
      </c>
      <c r="C17" s="18"/>
      <c r="D17" s="11"/>
    </row>
    <row r="18" spans="1:7" ht="26.1" customHeight="1" thickBot="1" x14ac:dyDescent="0.3">
      <c r="A18" s="1">
        <v>11</v>
      </c>
      <c r="B18" s="15" t="s">
        <v>12</v>
      </c>
      <c r="C18" s="18"/>
      <c r="D18" s="11"/>
    </row>
    <row r="19" spans="1:7" ht="26.1" customHeight="1" thickBot="1" x14ac:dyDescent="0.3">
      <c r="B19" s="15" t="s">
        <v>13</v>
      </c>
      <c r="C19" s="18"/>
      <c r="D19" s="11"/>
    </row>
    <row r="20" spans="1:7" ht="26.1" customHeight="1" thickBot="1" x14ac:dyDescent="0.3">
      <c r="B20" s="15" t="s">
        <v>14</v>
      </c>
      <c r="C20" s="18"/>
      <c r="D20" s="11"/>
    </row>
    <row r="21" spans="1:7" ht="21" thickBot="1" x14ac:dyDescent="0.35">
      <c r="B21" s="242" t="s">
        <v>29</v>
      </c>
      <c r="C21" s="243"/>
      <c r="D21" s="9" t="s">
        <v>16</v>
      </c>
    </row>
    <row r="22" spans="1:7" ht="26.1" customHeight="1" x14ac:dyDescent="0.3">
      <c r="B22" s="230" t="s">
        <v>17</v>
      </c>
      <c r="C22" s="230"/>
      <c r="D22" s="35" t="s">
        <v>219</v>
      </c>
    </row>
    <row r="23" spans="1:7" ht="26.1" customHeight="1" x14ac:dyDescent="0.3">
      <c r="B23" s="216" t="s">
        <v>28</v>
      </c>
      <c r="C23" s="216"/>
      <c r="D23" s="35" t="s">
        <v>132</v>
      </c>
    </row>
    <row r="24" spans="1:7" ht="22.5" x14ac:dyDescent="0.3">
      <c r="B24" s="216"/>
      <c r="C24" s="216"/>
      <c r="D24" s="34"/>
    </row>
    <row r="25" spans="1:7" ht="26.1" customHeight="1" x14ac:dyDescent="0.3">
      <c r="B25" s="216" t="s">
        <v>18</v>
      </c>
      <c r="C25" s="216"/>
      <c r="D25" s="36" t="s">
        <v>127</v>
      </c>
    </row>
    <row r="26" spans="1:7" ht="26.1" customHeight="1" x14ac:dyDescent="0.3">
      <c r="B26" s="216" t="s">
        <v>19</v>
      </c>
      <c r="C26" s="216"/>
      <c r="D26" s="36">
        <v>3</v>
      </c>
    </row>
    <row r="27" spans="1:7" ht="20.25" thickBot="1" x14ac:dyDescent="0.3">
      <c r="D27" s="6"/>
    </row>
    <row r="28" spans="1:7" ht="20.25" thickBot="1" x14ac:dyDescent="0.3">
      <c r="B28" s="7" t="s">
        <v>20</v>
      </c>
      <c r="C28" s="14" t="s">
        <v>15</v>
      </c>
      <c r="D28" s="9" t="s">
        <v>16</v>
      </c>
      <c r="F28" s="1" t="s">
        <v>216</v>
      </c>
    </row>
    <row r="29" spans="1:7" ht="26.1" customHeight="1" thickBot="1" x14ac:dyDescent="0.3">
      <c r="B29" s="16" t="s">
        <v>21</v>
      </c>
      <c r="C29" s="18">
        <v>1.6</v>
      </c>
      <c r="D29" s="18"/>
      <c r="F29" s="56">
        <v>1.57</v>
      </c>
      <c r="G29" s="56">
        <v>1.56</v>
      </c>
    </row>
    <row r="30" spans="1:7" ht="26.1" customHeight="1" thickBot="1" x14ac:dyDescent="0.3">
      <c r="B30" s="17" t="s">
        <v>22</v>
      </c>
      <c r="C30" s="18">
        <v>1.45</v>
      </c>
      <c r="D30" s="18"/>
      <c r="F30" s="56">
        <v>1.45</v>
      </c>
      <c r="G30" s="56">
        <v>1.43</v>
      </c>
    </row>
    <row r="31" spans="1:7" ht="26.1" customHeight="1" thickBot="1" x14ac:dyDescent="0.3">
      <c r="B31" s="17" t="s">
        <v>23</v>
      </c>
      <c r="C31" s="18" t="s">
        <v>87</v>
      </c>
      <c r="D31" s="18"/>
      <c r="F31" s="56">
        <v>1.45</v>
      </c>
      <c r="G31" s="56">
        <v>1.38</v>
      </c>
    </row>
    <row r="32" spans="1:7" ht="26.1" customHeight="1" thickBot="1" x14ac:dyDescent="0.3">
      <c r="B32" s="17" t="s">
        <v>24</v>
      </c>
      <c r="C32" s="18">
        <v>1.4</v>
      </c>
      <c r="D32" s="18"/>
      <c r="F32" s="56">
        <v>1.26</v>
      </c>
      <c r="G32" s="56">
        <v>1.37</v>
      </c>
    </row>
    <row r="33" spans="2:4" ht="20.25" thickBot="1" x14ac:dyDescent="0.3"/>
    <row r="34" spans="2:4" ht="20.25" x14ac:dyDescent="0.3">
      <c r="B34" s="238" t="s">
        <v>25</v>
      </c>
      <c r="C34" s="239"/>
      <c r="D34" s="240"/>
    </row>
    <row r="35" spans="2:4" x14ac:dyDescent="0.25">
      <c r="B35" s="241" t="s">
        <v>128</v>
      </c>
      <c r="C35" s="241"/>
      <c r="D35" s="241"/>
    </row>
    <row r="36" spans="2:4" x14ac:dyDescent="0.25">
      <c r="B36" s="241" t="s">
        <v>88</v>
      </c>
      <c r="C36" s="241"/>
      <c r="D36" s="241"/>
    </row>
    <row r="37" spans="2:4" x14ac:dyDescent="0.25">
      <c r="B37" s="241" t="s">
        <v>130</v>
      </c>
      <c r="C37" s="241"/>
      <c r="D37" s="241"/>
    </row>
    <row r="38" spans="2:4" x14ac:dyDescent="0.25">
      <c r="B38" s="241" t="s">
        <v>131</v>
      </c>
      <c r="C38" s="241"/>
      <c r="D38" s="241"/>
    </row>
    <row r="39" spans="2:4" x14ac:dyDescent="0.25">
      <c r="B39" s="241" t="s">
        <v>133</v>
      </c>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17">
    <pageSetUpPr fitToPage="1"/>
  </sheetPr>
  <dimension ref="A1:G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7" ht="20.25" thickBot="1" x14ac:dyDescent="0.3">
      <c r="E1" s="38"/>
    </row>
    <row r="2" spans="2:7" ht="27.75" thickBot="1" x14ac:dyDescent="0.4">
      <c r="B2" s="211" t="s">
        <v>86</v>
      </c>
      <c r="C2" s="212"/>
      <c r="D2" s="213"/>
    </row>
    <row r="4" spans="2:7" x14ac:dyDescent="0.25">
      <c r="B4" s="214" t="s">
        <v>30</v>
      </c>
      <c r="C4" s="214"/>
      <c r="D4" s="214"/>
    </row>
    <row r="5" spans="2:7" ht="20.25" thickBot="1" x14ac:dyDescent="0.3"/>
    <row r="6" spans="2:7" ht="20.25" thickBot="1" x14ac:dyDescent="0.3">
      <c r="B6" s="2" t="s">
        <v>3</v>
      </c>
      <c r="C6" s="3"/>
      <c r="D6" s="4" t="s">
        <v>16</v>
      </c>
    </row>
    <row r="7" spans="2:7" ht="26.1" customHeight="1" thickBot="1" x14ac:dyDescent="0.3">
      <c r="B7" s="227" t="s">
        <v>1</v>
      </c>
      <c r="C7" s="228"/>
      <c r="D7" s="18" t="s">
        <v>124</v>
      </c>
      <c r="F7" s="56" t="s">
        <v>217</v>
      </c>
      <c r="G7" s="56" t="s">
        <v>218</v>
      </c>
    </row>
    <row r="8" spans="2:7" ht="26.1" customHeight="1" thickBot="1" x14ac:dyDescent="0.3">
      <c r="B8" s="227" t="s">
        <v>2</v>
      </c>
      <c r="C8" s="228"/>
      <c r="D8" s="18" t="s">
        <v>125</v>
      </c>
    </row>
    <row r="9" spans="2:7" ht="20.25" thickBot="1" x14ac:dyDescent="0.3">
      <c r="D9" s="6"/>
    </row>
    <row r="10" spans="2:7" ht="20.25" thickBot="1" x14ac:dyDescent="0.3">
      <c r="B10" s="7" t="s">
        <v>4</v>
      </c>
      <c r="C10" s="8" t="s">
        <v>15</v>
      </c>
      <c r="D10" s="9" t="s">
        <v>16</v>
      </c>
    </row>
    <row r="11" spans="2:7" ht="26.1" customHeight="1" thickBot="1" x14ac:dyDescent="0.3">
      <c r="B11" s="15" t="s">
        <v>5</v>
      </c>
      <c r="C11" s="18">
        <v>3.7</v>
      </c>
      <c r="D11" s="11"/>
    </row>
    <row r="12" spans="2:7" ht="26.1" customHeight="1" thickBot="1" x14ac:dyDescent="0.3">
      <c r="B12" s="15" t="s">
        <v>6</v>
      </c>
      <c r="C12" s="18">
        <v>3.4</v>
      </c>
      <c r="D12" s="30"/>
    </row>
    <row r="13" spans="2:7" ht="26.1" customHeight="1" thickBot="1" x14ac:dyDescent="0.3">
      <c r="B13" s="15" t="s">
        <v>7</v>
      </c>
      <c r="C13" s="18">
        <v>3.48</v>
      </c>
      <c r="D13" s="30"/>
    </row>
    <row r="14" spans="2:7" ht="26.1" customHeight="1" thickBot="1" x14ac:dyDescent="0.3">
      <c r="B14" s="15" t="s">
        <v>8</v>
      </c>
      <c r="C14" s="18">
        <v>2.1</v>
      </c>
      <c r="D14" s="30"/>
    </row>
    <row r="15" spans="2:7" ht="26.1" customHeight="1" thickBot="1" x14ac:dyDescent="0.3">
      <c r="B15" s="15" t="s">
        <v>9</v>
      </c>
      <c r="C15" s="18"/>
      <c r="D15" s="30"/>
    </row>
    <row r="16" spans="2:7" ht="26.1" customHeight="1" thickBot="1" x14ac:dyDescent="0.3">
      <c r="B16" s="15" t="s">
        <v>10</v>
      </c>
      <c r="C16" s="18"/>
      <c r="D16" s="30"/>
    </row>
    <row r="17" spans="1:7" ht="26.1" customHeight="1" thickBot="1" x14ac:dyDescent="0.3">
      <c r="B17" s="15" t="s">
        <v>11</v>
      </c>
      <c r="C17" s="18"/>
      <c r="D17" s="11"/>
    </row>
    <row r="18" spans="1:7" ht="26.1" customHeight="1" thickBot="1" x14ac:dyDescent="0.3">
      <c r="B18" s="15" t="s">
        <v>12</v>
      </c>
      <c r="C18" s="18"/>
      <c r="D18" s="11"/>
    </row>
    <row r="19" spans="1:7" ht="26.1" customHeight="1" thickBot="1" x14ac:dyDescent="0.3">
      <c r="A19" s="1" t="s">
        <v>432</v>
      </c>
      <c r="B19" s="15" t="s">
        <v>13</v>
      </c>
      <c r="C19" s="18"/>
      <c r="D19" s="11"/>
    </row>
    <row r="20" spans="1:7" ht="26.1" customHeight="1" thickBot="1" x14ac:dyDescent="0.3">
      <c r="B20" s="15" t="s">
        <v>14</v>
      </c>
      <c r="C20" s="18"/>
      <c r="D20" s="11"/>
    </row>
    <row r="21" spans="1:7" ht="21" thickBot="1" x14ac:dyDescent="0.35">
      <c r="B21" s="242" t="s">
        <v>29</v>
      </c>
      <c r="C21" s="243"/>
      <c r="D21" s="9" t="s">
        <v>16</v>
      </c>
    </row>
    <row r="22" spans="1:7" ht="26.1" customHeight="1" x14ac:dyDescent="0.3">
      <c r="B22" s="230" t="s">
        <v>17</v>
      </c>
      <c r="C22" s="230"/>
      <c r="D22" s="35" t="s">
        <v>129</v>
      </c>
    </row>
    <row r="23" spans="1:7" ht="26.1" customHeight="1" x14ac:dyDescent="0.3">
      <c r="B23" s="216" t="s">
        <v>28</v>
      </c>
      <c r="C23" s="216"/>
      <c r="D23" s="35" t="s">
        <v>132</v>
      </c>
    </row>
    <row r="24" spans="1:7" ht="22.5" x14ac:dyDescent="0.3">
      <c r="B24" s="216"/>
      <c r="C24" s="216"/>
      <c r="D24" s="34"/>
    </row>
    <row r="25" spans="1:7" ht="26.1" customHeight="1" x14ac:dyDescent="0.3">
      <c r="B25" s="216" t="s">
        <v>18</v>
      </c>
      <c r="C25" s="216"/>
      <c r="D25" s="36" t="s">
        <v>127</v>
      </c>
    </row>
    <row r="26" spans="1:7" ht="26.1" customHeight="1" x14ac:dyDescent="0.3">
      <c r="B26" s="216" t="s">
        <v>19</v>
      </c>
      <c r="C26" s="216"/>
      <c r="D26" s="36">
        <v>3</v>
      </c>
    </row>
    <row r="27" spans="1:7" ht="20.25" thickBot="1" x14ac:dyDescent="0.3">
      <c r="D27" s="6"/>
    </row>
    <row r="28" spans="1:7" ht="20.25" thickBot="1" x14ac:dyDescent="0.3">
      <c r="B28" s="7" t="s">
        <v>20</v>
      </c>
      <c r="C28" s="14" t="s">
        <v>15</v>
      </c>
      <c r="D28" s="9" t="s">
        <v>16</v>
      </c>
      <c r="F28" s="1" t="s">
        <v>216</v>
      </c>
    </row>
    <row r="29" spans="1:7" ht="26.1" customHeight="1" thickBot="1" x14ac:dyDescent="0.3">
      <c r="B29" s="16" t="s">
        <v>21</v>
      </c>
      <c r="C29" s="18">
        <v>1.6</v>
      </c>
      <c r="D29" s="18"/>
      <c r="F29" s="56">
        <v>1.57</v>
      </c>
      <c r="G29" s="56">
        <v>1.56</v>
      </c>
    </row>
    <row r="30" spans="1:7" ht="26.1" customHeight="1" thickBot="1" x14ac:dyDescent="0.3">
      <c r="B30" s="17" t="s">
        <v>22</v>
      </c>
      <c r="C30" s="18">
        <v>1.45</v>
      </c>
      <c r="D30" s="18"/>
      <c r="F30" s="56">
        <v>1.45</v>
      </c>
      <c r="G30" s="56">
        <v>1.43</v>
      </c>
    </row>
    <row r="31" spans="1:7" ht="26.1" customHeight="1" thickBot="1" x14ac:dyDescent="0.3">
      <c r="B31" s="17" t="s">
        <v>23</v>
      </c>
      <c r="C31" s="18" t="s">
        <v>87</v>
      </c>
      <c r="D31" s="18"/>
      <c r="F31" s="56">
        <v>1.45</v>
      </c>
      <c r="G31" s="56">
        <v>1.38</v>
      </c>
    </row>
    <row r="32" spans="1:7" ht="26.1" customHeight="1" thickBot="1" x14ac:dyDescent="0.3">
      <c r="B32" s="17" t="s">
        <v>24</v>
      </c>
      <c r="C32" s="18">
        <v>1.45</v>
      </c>
      <c r="D32" s="18"/>
      <c r="F32" s="56">
        <v>1.26</v>
      </c>
      <c r="G32" s="56">
        <v>1.37</v>
      </c>
    </row>
    <row r="33" spans="2:4" ht="20.25" thickBot="1" x14ac:dyDescent="0.3"/>
    <row r="34" spans="2:4" ht="20.25" x14ac:dyDescent="0.3">
      <c r="B34" s="238" t="s">
        <v>25</v>
      </c>
      <c r="C34" s="239"/>
      <c r="D34" s="240"/>
    </row>
    <row r="35" spans="2:4" x14ac:dyDescent="0.25">
      <c r="B35" s="241" t="s">
        <v>128</v>
      </c>
      <c r="C35" s="241"/>
      <c r="D35" s="241"/>
    </row>
    <row r="36" spans="2:4" x14ac:dyDescent="0.25">
      <c r="B36" s="241" t="s">
        <v>88</v>
      </c>
      <c r="C36" s="241"/>
      <c r="D36" s="241"/>
    </row>
    <row r="37" spans="2:4" x14ac:dyDescent="0.25">
      <c r="B37" s="241" t="s">
        <v>130</v>
      </c>
      <c r="C37" s="241"/>
      <c r="D37" s="241"/>
    </row>
    <row r="38" spans="2:4" x14ac:dyDescent="0.25">
      <c r="B38" s="241" t="s">
        <v>131</v>
      </c>
      <c r="C38" s="241"/>
      <c r="D38" s="241"/>
    </row>
    <row r="39" spans="2:4" x14ac:dyDescent="0.25">
      <c r="B39" s="241" t="s">
        <v>133</v>
      </c>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18">
    <pageSetUpPr fitToPage="1"/>
  </sheetPr>
  <dimension ref="A1:E51"/>
  <sheetViews>
    <sheetView view="pageBreakPreview" topLeftCell="A5" zoomScale="55" zoomScaleNormal="100" zoomScaleSheetLayoutView="55"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5" ht="20.25" thickBot="1" x14ac:dyDescent="0.3"/>
    <row r="2" spans="2:5" ht="27.75" thickBot="1" x14ac:dyDescent="0.4">
      <c r="B2" s="211" t="s">
        <v>82</v>
      </c>
      <c r="C2" s="212"/>
      <c r="D2" s="213"/>
      <c r="E2" s="37"/>
    </row>
    <row r="4" spans="2:5" x14ac:dyDescent="0.25">
      <c r="B4" s="214" t="s">
        <v>30</v>
      </c>
      <c r="C4" s="214"/>
      <c r="D4" s="214"/>
    </row>
    <row r="5" spans="2:5" ht="20.25" thickBot="1" x14ac:dyDescent="0.3"/>
    <row r="6" spans="2:5" ht="20.25" thickBot="1" x14ac:dyDescent="0.3">
      <c r="B6" s="2" t="s">
        <v>3</v>
      </c>
      <c r="C6" s="3"/>
      <c r="D6" s="4" t="s">
        <v>16</v>
      </c>
    </row>
    <row r="7" spans="2:5" ht="26.1" customHeight="1" thickBot="1" x14ac:dyDescent="0.3">
      <c r="B7" s="227" t="s">
        <v>1</v>
      </c>
      <c r="C7" s="228"/>
      <c r="D7" s="18" t="s">
        <v>54</v>
      </c>
    </row>
    <row r="8" spans="2:5" ht="26.1" customHeight="1" thickBot="1" x14ac:dyDescent="0.3">
      <c r="B8" s="227" t="s">
        <v>2</v>
      </c>
      <c r="C8" s="228"/>
      <c r="D8" s="18" t="s">
        <v>83</v>
      </c>
    </row>
    <row r="9" spans="2:5" ht="20.25" thickBot="1" x14ac:dyDescent="0.3">
      <c r="D9" s="6"/>
    </row>
    <row r="10" spans="2:5" ht="20.25" thickBot="1" x14ac:dyDescent="0.3">
      <c r="B10" s="7" t="s">
        <v>4</v>
      </c>
      <c r="C10" s="8" t="s">
        <v>15</v>
      </c>
      <c r="D10" s="9" t="s">
        <v>16</v>
      </c>
    </row>
    <row r="11" spans="2:5" ht="26.1" customHeight="1" thickBot="1" x14ac:dyDescent="0.3">
      <c r="B11" s="15" t="s">
        <v>5</v>
      </c>
      <c r="C11" s="18">
        <v>3.5</v>
      </c>
      <c r="D11" s="11"/>
    </row>
    <row r="12" spans="2:5" ht="26.1" customHeight="1" thickBot="1" x14ac:dyDescent="0.3">
      <c r="B12" s="15" t="s">
        <v>6</v>
      </c>
      <c r="C12" s="18">
        <v>3.4</v>
      </c>
      <c r="D12" s="30"/>
    </row>
    <row r="13" spans="2:5" ht="26.1" customHeight="1" thickBot="1" x14ac:dyDescent="0.3">
      <c r="B13" s="15" t="s">
        <v>7</v>
      </c>
      <c r="C13" s="18">
        <v>3.45</v>
      </c>
      <c r="D13" s="30"/>
    </row>
    <row r="14" spans="2:5" ht="26.1" customHeight="1" thickBot="1" x14ac:dyDescent="0.3">
      <c r="B14" s="15" t="s">
        <v>8</v>
      </c>
      <c r="C14" s="18">
        <v>2.15</v>
      </c>
      <c r="D14" s="30"/>
    </row>
    <row r="15" spans="2:5" ht="26.1" customHeight="1" thickBot="1" x14ac:dyDescent="0.3">
      <c r="B15" s="15" t="s">
        <v>9</v>
      </c>
      <c r="C15" s="18"/>
      <c r="D15" s="30"/>
    </row>
    <row r="16" spans="2:5" ht="26.1" customHeight="1" thickBot="1" x14ac:dyDescent="0.3">
      <c r="B16" s="15" t="s">
        <v>10</v>
      </c>
      <c r="C16" s="18"/>
      <c r="D16" s="30"/>
    </row>
    <row r="17" spans="1:4" ht="26.1" customHeight="1" thickBot="1" x14ac:dyDescent="0.3">
      <c r="B17" s="15" t="s">
        <v>11</v>
      </c>
      <c r="C17" s="18"/>
      <c r="D17" s="11"/>
    </row>
    <row r="18" spans="1:4" ht="26.1" customHeight="1" thickBot="1" x14ac:dyDescent="0.3">
      <c r="B18" s="15" t="s">
        <v>12</v>
      </c>
      <c r="C18" s="18"/>
      <c r="D18" s="11"/>
    </row>
    <row r="19" spans="1:4" ht="26.1" customHeight="1" thickBot="1" x14ac:dyDescent="0.3">
      <c r="B19" s="15" t="s">
        <v>13</v>
      </c>
      <c r="C19" s="18"/>
      <c r="D19" s="11"/>
    </row>
    <row r="20" spans="1:4" ht="26.1" customHeight="1" thickBot="1" x14ac:dyDescent="0.3">
      <c r="A20" s="1">
        <v>10</v>
      </c>
      <c r="B20" s="15" t="s">
        <v>14</v>
      </c>
      <c r="C20" s="18"/>
      <c r="D20" s="11"/>
    </row>
    <row r="21" spans="1:4" ht="21" thickBot="1" x14ac:dyDescent="0.35">
      <c r="B21" s="242" t="s">
        <v>29</v>
      </c>
      <c r="C21" s="243"/>
      <c r="D21" s="9" t="s">
        <v>16</v>
      </c>
    </row>
    <row r="22" spans="1:4" ht="26.1" customHeight="1" x14ac:dyDescent="0.25">
      <c r="B22" s="230" t="s">
        <v>17</v>
      </c>
      <c r="C22" s="230"/>
      <c r="D22" s="33" t="s">
        <v>84</v>
      </c>
    </row>
    <row r="23" spans="1:4" ht="26.1" customHeight="1" x14ac:dyDescent="0.25">
      <c r="B23" s="216" t="s">
        <v>28</v>
      </c>
      <c r="C23" s="216"/>
      <c r="D23" s="33" t="s">
        <v>85</v>
      </c>
    </row>
    <row r="24" spans="1:4" x14ac:dyDescent="0.25">
      <c r="B24" s="216"/>
      <c r="C24" s="216"/>
      <c r="D24" s="5"/>
    </row>
    <row r="25" spans="1:4" ht="26.1" customHeight="1" x14ac:dyDescent="0.25">
      <c r="B25" s="216" t="s">
        <v>18</v>
      </c>
      <c r="C25" s="216"/>
      <c r="D25" s="10"/>
    </row>
    <row r="26" spans="1:4" ht="26.1" customHeight="1" x14ac:dyDescent="0.25">
      <c r="B26" s="216" t="s">
        <v>19</v>
      </c>
      <c r="C26" s="216"/>
      <c r="D26" s="10">
        <v>3</v>
      </c>
    </row>
    <row r="27" spans="1:4" ht="20.25" thickBot="1" x14ac:dyDescent="0.3">
      <c r="D27" s="6"/>
    </row>
    <row r="28" spans="1:4" ht="20.25" thickBot="1" x14ac:dyDescent="0.3">
      <c r="B28" s="7" t="s">
        <v>20</v>
      </c>
      <c r="C28" s="14" t="s">
        <v>15</v>
      </c>
      <c r="D28" s="9" t="s">
        <v>16</v>
      </c>
    </row>
    <row r="29" spans="1:4" ht="26.1" customHeight="1" thickBot="1" x14ac:dyDescent="0.3">
      <c r="B29" s="16" t="s">
        <v>21</v>
      </c>
      <c r="C29" s="18">
        <v>1.5</v>
      </c>
      <c r="D29" s="18"/>
    </row>
    <row r="30" spans="1:4" ht="26.1" customHeight="1" thickBot="1" x14ac:dyDescent="0.3">
      <c r="B30" s="17" t="s">
        <v>22</v>
      </c>
      <c r="C30" s="18">
        <v>1.4</v>
      </c>
      <c r="D30" s="18"/>
    </row>
    <row r="31" spans="1:4" ht="26.1" customHeight="1" thickBot="1" x14ac:dyDescent="0.3">
      <c r="B31" s="17" t="s">
        <v>23</v>
      </c>
      <c r="C31" s="18">
        <v>1.6</v>
      </c>
      <c r="D31" s="18"/>
    </row>
    <row r="32" spans="1:4" ht="26.1" customHeight="1" thickBot="1" x14ac:dyDescent="0.3">
      <c r="B32" s="17" t="s">
        <v>24</v>
      </c>
      <c r="C32" s="18">
        <v>1.5</v>
      </c>
      <c r="D32" s="18"/>
    </row>
    <row r="33" spans="2:4" ht="20.25" thickBot="1" x14ac:dyDescent="0.3"/>
    <row r="34" spans="2:4" ht="20.25" x14ac:dyDescent="0.3">
      <c r="B34" s="238" t="s">
        <v>25</v>
      </c>
      <c r="C34" s="239"/>
      <c r="D34" s="240"/>
    </row>
    <row r="35" spans="2:4" x14ac:dyDescent="0.25">
      <c r="B35" s="241"/>
      <c r="C35" s="241"/>
      <c r="D35" s="241"/>
    </row>
    <row r="36" spans="2:4" x14ac:dyDescent="0.25">
      <c r="B36" s="241"/>
      <c r="C36" s="241"/>
      <c r="D36" s="241"/>
    </row>
    <row r="37" spans="2:4" x14ac:dyDescent="0.25">
      <c r="B37" s="241"/>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19">
    <pageSetUpPr fitToPage="1"/>
  </sheetPr>
  <dimension ref="A1:J51"/>
  <sheetViews>
    <sheetView view="pageBreakPreview" zoomScale="40" zoomScaleNormal="100" zoomScaleSheetLayoutView="40" workbookViewId="0">
      <selection activeCell="C19" sqref="C19"/>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35.140625" style="1" customWidth="1"/>
    <col min="7" max="7" width="11.42578125" style="1"/>
    <col min="8" max="8" width="37.42578125" style="1" customWidth="1"/>
    <col min="9" max="16384" width="11.42578125" style="1"/>
  </cols>
  <sheetData>
    <row r="1" spans="2:10" ht="20.25" thickBot="1" x14ac:dyDescent="0.3"/>
    <row r="2" spans="2:10" ht="27.75" thickBot="1" x14ac:dyDescent="0.4">
      <c r="B2" s="211" t="s">
        <v>26</v>
      </c>
      <c r="C2" s="212"/>
      <c r="D2" s="213"/>
    </row>
    <row r="4" spans="2:10" x14ac:dyDescent="0.25">
      <c r="B4" s="214" t="s">
        <v>30</v>
      </c>
      <c r="C4" s="214"/>
      <c r="D4" s="214"/>
    </row>
    <row r="5" spans="2:10" ht="20.25" thickBot="1" x14ac:dyDescent="0.3">
      <c r="F5" s="76" t="s">
        <v>225</v>
      </c>
      <c r="H5" s="57"/>
    </row>
    <row r="6" spans="2:10" ht="20.25" thickBot="1" x14ac:dyDescent="0.3">
      <c r="B6" s="2" t="s">
        <v>3</v>
      </c>
      <c r="C6" s="3"/>
      <c r="D6" s="4" t="s">
        <v>16</v>
      </c>
      <c r="F6" s="4" t="s">
        <v>16</v>
      </c>
      <c r="H6" s="4"/>
    </row>
    <row r="7" spans="2:10" ht="26.1" customHeight="1" thickBot="1" x14ac:dyDescent="0.3">
      <c r="B7" s="227" t="s">
        <v>1</v>
      </c>
      <c r="C7" s="228"/>
      <c r="D7" s="18" t="s">
        <v>226</v>
      </c>
      <c r="F7" s="18" t="s">
        <v>150</v>
      </c>
      <c r="H7" s="18"/>
    </row>
    <row r="8" spans="2:10" ht="26.1" customHeight="1" thickBot="1" x14ac:dyDescent="0.3">
      <c r="B8" s="227" t="s">
        <v>2</v>
      </c>
      <c r="C8" s="228"/>
      <c r="D8" s="18" t="s">
        <v>168</v>
      </c>
      <c r="F8" s="18" t="s">
        <v>168</v>
      </c>
      <c r="H8" s="18"/>
    </row>
    <row r="9" spans="2:10" ht="20.25" thickBot="1" x14ac:dyDescent="0.3">
      <c r="D9" s="6"/>
      <c r="F9" s="6"/>
      <c r="H9" s="6"/>
    </row>
    <row r="10" spans="2:10" ht="20.25" thickBot="1" x14ac:dyDescent="0.3">
      <c r="B10" s="7" t="s">
        <v>4</v>
      </c>
      <c r="C10" s="8" t="s">
        <v>15</v>
      </c>
      <c r="D10" s="9" t="s">
        <v>16</v>
      </c>
      <c r="F10" s="9" t="s">
        <v>16</v>
      </c>
      <c r="H10" s="9"/>
      <c r="J10" s="1">
        <v>5.5</v>
      </c>
    </row>
    <row r="11" spans="2:10" ht="26.1" customHeight="1" thickBot="1" x14ac:dyDescent="0.3">
      <c r="B11" s="15" t="s">
        <v>5</v>
      </c>
      <c r="C11" s="18">
        <v>3.4</v>
      </c>
      <c r="D11" s="11"/>
      <c r="F11" s="18">
        <v>3.4</v>
      </c>
      <c r="H11" s="18"/>
      <c r="J11" s="19">
        <v>3.1</v>
      </c>
    </row>
    <row r="12" spans="2:10" ht="26.1" customHeight="1" thickBot="1" x14ac:dyDescent="0.3">
      <c r="B12" s="15" t="s">
        <v>6</v>
      </c>
      <c r="C12" s="18">
        <v>3.4</v>
      </c>
      <c r="D12" s="30"/>
      <c r="F12" s="18">
        <v>3.4</v>
      </c>
      <c r="H12" s="18"/>
      <c r="J12" s="19">
        <v>3.15</v>
      </c>
    </row>
    <row r="13" spans="2:10" ht="26.1" customHeight="1" thickBot="1" x14ac:dyDescent="0.3">
      <c r="B13" s="15" t="s">
        <v>7</v>
      </c>
      <c r="C13" s="18">
        <v>3.45</v>
      </c>
      <c r="D13" s="30"/>
      <c r="F13" s="18">
        <v>3.45</v>
      </c>
      <c r="H13" s="18"/>
      <c r="J13" s="19">
        <v>3.27</v>
      </c>
    </row>
    <row r="14" spans="2:10" ht="26.1" customHeight="1" thickBot="1" x14ac:dyDescent="0.3">
      <c r="B14" s="15" t="s">
        <v>8</v>
      </c>
      <c r="C14" s="18">
        <v>2.11</v>
      </c>
      <c r="D14" s="30"/>
      <c r="F14" s="18">
        <v>2.11</v>
      </c>
      <c r="H14" s="18"/>
      <c r="J14" s="19">
        <v>2.1</v>
      </c>
    </row>
    <row r="15" spans="2:10" ht="26.1" customHeight="1" thickBot="1" x14ac:dyDescent="0.3">
      <c r="B15" s="15" t="s">
        <v>9</v>
      </c>
      <c r="C15" s="18"/>
      <c r="D15" s="30"/>
      <c r="F15" s="18"/>
      <c r="H15" s="18"/>
    </row>
    <row r="16" spans="2:10" ht="26.1" customHeight="1" thickBot="1" x14ac:dyDescent="0.3">
      <c r="B16" s="15" t="s">
        <v>10</v>
      </c>
      <c r="C16" s="18"/>
      <c r="D16" s="30"/>
      <c r="F16" s="18"/>
      <c r="H16" s="18"/>
    </row>
    <row r="17" spans="1:8" ht="26.1" customHeight="1" thickBot="1" x14ac:dyDescent="0.3">
      <c r="B17" s="15" t="s">
        <v>11</v>
      </c>
      <c r="C17" s="18"/>
      <c r="D17" s="11"/>
      <c r="F17" s="11"/>
      <c r="H17" s="11"/>
    </row>
    <row r="18" spans="1:8" ht="26.1" customHeight="1" thickBot="1" x14ac:dyDescent="0.3">
      <c r="B18" s="15" t="s">
        <v>12</v>
      </c>
      <c r="C18" s="18"/>
      <c r="D18" s="11"/>
      <c r="F18" s="11"/>
      <c r="H18" s="11"/>
    </row>
    <row r="19" spans="1:8" ht="26.1" customHeight="1" thickBot="1" x14ac:dyDescent="0.3">
      <c r="B19" s="15" t="s">
        <v>13</v>
      </c>
      <c r="C19" s="18"/>
      <c r="D19" s="11"/>
      <c r="F19" s="11"/>
      <c r="H19" s="11"/>
    </row>
    <row r="20" spans="1:8" ht="26.1" customHeight="1" thickBot="1" x14ac:dyDescent="0.3">
      <c r="B20" s="15" t="s">
        <v>14</v>
      </c>
      <c r="C20" s="18"/>
      <c r="D20" s="11"/>
      <c r="F20" s="11"/>
      <c r="H20" s="11"/>
    </row>
    <row r="21" spans="1:8" ht="21" thickBot="1" x14ac:dyDescent="0.35">
      <c r="A21" s="1" t="s">
        <v>433</v>
      </c>
      <c r="B21" s="242" t="s">
        <v>29</v>
      </c>
      <c r="C21" s="243"/>
      <c r="D21" s="9" t="s">
        <v>16</v>
      </c>
      <c r="F21" s="9" t="s">
        <v>16</v>
      </c>
      <c r="H21" s="9"/>
    </row>
    <row r="22" spans="1:8" ht="26.1" customHeight="1" x14ac:dyDescent="0.3">
      <c r="B22" s="230" t="s">
        <v>17</v>
      </c>
      <c r="C22" s="230"/>
      <c r="D22" s="35" t="s">
        <v>227</v>
      </c>
      <c r="F22" s="35" t="s">
        <v>153</v>
      </c>
      <c r="H22" s="35"/>
    </row>
    <row r="23" spans="1:8" ht="26.1" customHeight="1" x14ac:dyDescent="0.3">
      <c r="B23" s="216" t="s">
        <v>28</v>
      </c>
      <c r="C23" s="216"/>
      <c r="D23" s="35" t="s">
        <v>80</v>
      </c>
      <c r="F23" s="35" t="s">
        <v>80</v>
      </c>
      <c r="H23" s="35"/>
    </row>
    <row r="24" spans="1:8" ht="22.5" x14ac:dyDescent="0.3">
      <c r="B24" s="216"/>
      <c r="C24" s="216"/>
      <c r="D24" s="34"/>
      <c r="F24" s="34"/>
      <c r="H24" s="34"/>
    </row>
    <row r="25" spans="1:8" ht="26.1" customHeight="1" x14ac:dyDescent="0.3">
      <c r="B25" s="216" t="s">
        <v>18</v>
      </c>
      <c r="C25" s="216"/>
      <c r="D25" s="36" t="s">
        <v>228</v>
      </c>
      <c r="F25" s="36" t="s">
        <v>148</v>
      </c>
      <c r="H25" s="36"/>
    </row>
    <row r="26" spans="1:8" ht="26.1" customHeight="1" x14ac:dyDescent="0.3">
      <c r="B26" s="216" t="s">
        <v>19</v>
      </c>
      <c r="C26" s="216"/>
      <c r="D26" s="36">
        <v>3</v>
      </c>
      <c r="F26" s="36">
        <v>3</v>
      </c>
      <c r="H26" s="36"/>
    </row>
    <row r="27" spans="1:8" ht="20.25" thickBot="1" x14ac:dyDescent="0.3">
      <c r="D27" s="6"/>
      <c r="F27" s="6"/>
      <c r="H27" s="63">
        <v>41192</v>
      </c>
    </row>
    <row r="28" spans="1:8" ht="20.25" thickBot="1" x14ac:dyDescent="0.3">
      <c r="B28" s="7" t="s">
        <v>20</v>
      </c>
      <c r="C28" s="14" t="s">
        <v>15</v>
      </c>
      <c r="D28" s="9" t="s">
        <v>16</v>
      </c>
      <c r="F28" s="9" t="s">
        <v>16</v>
      </c>
      <c r="H28" s="9"/>
    </row>
    <row r="29" spans="1:8" ht="26.1" customHeight="1" thickBot="1" x14ac:dyDescent="0.3">
      <c r="B29" s="16" t="s">
        <v>21</v>
      </c>
      <c r="C29" s="18">
        <v>1.4</v>
      </c>
      <c r="D29" s="18"/>
      <c r="F29" s="18">
        <v>1.4</v>
      </c>
      <c r="H29" s="18">
        <v>1.4</v>
      </c>
    </row>
    <row r="30" spans="1:8" ht="26.1" customHeight="1" thickBot="1" x14ac:dyDescent="0.3">
      <c r="B30" s="17" t="s">
        <v>22</v>
      </c>
      <c r="C30" s="18">
        <v>1.35</v>
      </c>
      <c r="D30" s="18"/>
      <c r="F30" s="18" t="s">
        <v>104</v>
      </c>
      <c r="H30" s="18">
        <v>1.2</v>
      </c>
    </row>
    <row r="31" spans="1:8" ht="26.1" customHeight="1" thickBot="1" x14ac:dyDescent="0.3">
      <c r="B31" s="17" t="s">
        <v>23</v>
      </c>
      <c r="C31" s="18">
        <v>1.6</v>
      </c>
      <c r="D31" s="18"/>
      <c r="F31" s="18">
        <v>1.5</v>
      </c>
      <c r="H31" s="18">
        <v>1.5</v>
      </c>
    </row>
    <row r="32" spans="1:8" ht="26.1" customHeight="1" thickBot="1" x14ac:dyDescent="0.3">
      <c r="B32" s="17" t="s">
        <v>24</v>
      </c>
      <c r="C32" s="18">
        <v>1.5</v>
      </c>
      <c r="D32" s="18"/>
      <c r="F32" s="18">
        <v>1.45</v>
      </c>
      <c r="H32" s="18">
        <v>1.4</v>
      </c>
    </row>
    <row r="33" spans="2:4" ht="20.25" thickBot="1" x14ac:dyDescent="0.3"/>
    <row r="34" spans="2:4" ht="20.25" x14ac:dyDescent="0.3">
      <c r="B34" s="238" t="s">
        <v>25</v>
      </c>
      <c r="C34" s="239"/>
      <c r="D34" s="240"/>
    </row>
    <row r="35" spans="2:4" x14ac:dyDescent="0.25">
      <c r="B35" s="241" t="s">
        <v>81</v>
      </c>
      <c r="C35" s="241"/>
      <c r="D35" s="241"/>
    </row>
    <row r="36" spans="2:4" x14ac:dyDescent="0.25">
      <c r="B36" s="241" t="s">
        <v>149</v>
      </c>
      <c r="C36" s="241"/>
      <c r="D36" s="241"/>
    </row>
    <row r="37" spans="2:4" x14ac:dyDescent="0.25">
      <c r="B37" s="241" t="s">
        <v>154</v>
      </c>
      <c r="C37" s="241"/>
      <c r="D37" s="241"/>
    </row>
    <row r="38" spans="2:4" x14ac:dyDescent="0.25">
      <c r="B38" s="241" t="s">
        <v>155</v>
      </c>
      <c r="C38" s="241"/>
      <c r="D38" s="241"/>
    </row>
    <row r="39" spans="2:4" x14ac:dyDescent="0.25">
      <c r="B39" s="241" t="s">
        <v>156</v>
      </c>
      <c r="C39" s="241"/>
      <c r="D39" s="241"/>
    </row>
    <row r="40" spans="2:4" x14ac:dyDescent="0.25">
      <c r="B40" s="241" t="s">
        <v>157</v>
      </c>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20">
    <pageSetUpPr fitToPage="1"/>
  </sheetPr>
  <dimension ref="A1:D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4" ht="20.25" thickBot="1" x14ac:dyDescent="0.3"/>
    <row r="2" spans="2:4" ht="27.75" thickBot="1" x14ac:dyDescent="0.4">
      <c r="B2" s="211" t="s">
        <v>71</v>
      </c>
      <c r="C2" s="212"/>
      <c r="D2" s="213"/>
    </row>
    <row r="4" spans="2:4" x14ac:dyDescent="0.25">
      <c r="B4" s="214" t="s">
        <v>30</v>
      </c>
      <c r="C4" s="214"/>
      <c r="D4" s="214"/>
    </row>
    <row r="5" spans="2:4" ht="20.25" thickBot="1" x14ac:dyDescent="0.3"/>
    <row r="6" spans="2:4" ht="20.25" thickBot="1" x14ac:dyDescent="0.3">
      <c r="B6" s="2" t="s">
        <v>3</v>
      </c>
      <c r="C6" s="3"/>
      <c r="D6" s="4" t="s">
        <v>16</v>
      </c>
    </row>
    <row r="7" spans="2:4" ht="26.1" customHeight="1" thickBot="1" x14ac:dyDescent="0.3">
      <c r="B7" s="227" t="s">
        <v>1</v>
      </c>
      <c r="C7" s="228"/>
      <c r="D7" s="18" t="s">
        <v>77</v>
      </c>
    </row>
    <row r="8" spans="2:4" ht="26.1" customHeight="1" thickBot="1" x14ac:dyDescent="0.3">
      <c r="B8" s="227" t="s">
        <v>2</v>
      </c>
      <c r="C8" s="228"/>
      <c r="D8" s="18" t="s">
        <v>76</v>
      </c>
    </row>
    <row r="9" spans="2:4" ht="20.25" thickBot="1" x14ac:dyDescent="0.3">
      <c r="D9" s="6"/>
    </row>
    <row r="10" spans="2:4" ht="20.25" thickBot="1" x14ac:dyDescent="0.3">
      <c r="B10" s="7" t="s">
        <v>4</v>
      </c>
      <c r="C10" s="8" t="s">
        <v>15</v>
      </c>
      <c r="D10" s="9" t="s">
        <v>16</v>
      </c>
    </row>
    <row r="11" spans="2:4" ht="26.1" customHeight="1" thickBot="1" x14ac:dyDescent="0.3">
      <c r="B11" s="15" t="s">
        <v>5</v>
      </c>
      <c r="C11" s="18">
        <v>3.7</v>
      </c>
      <c r="D11" s="11"/>
    </row>
    <row r="12" spans="2:4" ht="26.1" customHeight="1" thickBot="1" x14ac:dyDescent="0.3">
      <c r="B12" s="15" t="s">
        <v>6</v>
      </c>
      <c r="C12" s="18">
        <v>3.4</v>
      </c>
      <c r="D12" s="30"/>
    </row>
    <row r="13" spans="2:4" ht="26.1" customHeight="1" thickBot="1" x14ac:dyDescent="0.3">
      <c r="B13" s="15" t="s">
        <v>7</v>
      </c>
      <c r="C13" s="18">
        <v>3.48</v>
      </c>
      <c r="D13" s="30"/>
    </row>
    <row r="14" spans="2:4" ht="26.1" customHeight="1" thickBot="1" x14ac:dyDescent="0.3">
      <c r="B14" s="15" t="s">
        <v>8</v>
      </c>
      <c r="C14" s="18">
        <v>2.2000000000000002</v>
      </c>
      <c r="D14" s="30"/>
    </row>
    <row r="15" spans="2:4" ht="26.1" customHeight="1" thickBot="1" x14ac:dyDescent="0.3">
      <c r="B15" s="15" t="s">
        <v>9</v>
      </c>
      <c r="C15" s="18">
        <v>2.2200000000000002</v>
      </c>
      <c r="D15" s="30"/>
    </row>
    <row r="16" spans="2:4" ht="26.1" customHeight="1" thickBot="1" x14ac:dyDescent="0.3">
      <c r="B16" s="15" t="s">
        <v>10</v>
      </c>
      <c r="C16" s="18">
        <v>1.96</v>
      </c>
      <c r="D16" s="30"/>
    </row>
    <row r="17" spans="1:4" ht="26.1" customHeight="1" thickBot="1" x14ac:dyDescent="0.3">
      <c r="B17" s="15" t="s">
        <v>11</v>
      </c>
      <c r="C17" s="18"/>
      <c r="D17" s="11"/>
    </row>
    <row r="18" spans="1:4" ht="26.1" customHeight="1" thickBot="1" x14ac:dyDescent="0.3">
      <c r="B18" s="15" t="s">
        <v>12</v>
      </c>
      <c r="C18" s="18"/>
      <c r="D18" s="11"/>
    </row>
    <row r="19" spans="1:4" ht="26.1" customHeight="1" thickBot="1" x14ac:dyDescent="0.3">
      <c r="B19" s="15" t="s">
        <v>13</v>
      </c>
      <c r="C19" s="18"/>
      <c r="D19" s="11"/>
    </row>
    <row r="20" spans="1:4" ht="26.1" customHeight="1" thickBot="1" x14ac:dyDescent="0.3">
      <c r="B20" s="15" t="s">
        <v>14</v>
      </c>
      <c r="C20" s="18"/>
      <c r="D20" s="11"/>
    </row>
    <row r="21" spans="1:4" ht="21" thickBot="1" x14ac:dyDescent="0.35">
      <c r="B21" s="242" t="s">
        <v>29</v>
      </c>
      <c r="C21" s="243"/>
      <c r="D21" s="9" t="s">
        <v>16</v>
      </c>
    </row>
    <row r="22" spans="1:4" ht="26.1" customHeight="1" x14ac:dyDescent="0.25">
      <c r="A22" s="1" t="s">
        <v>434</v>
      </c>
      <c r="B22" s="230" t="s">
        <v>17</v>
      </c>
      <c r="C22" s="230"/>
      <c r="D22" s="33" t="s">
        <v>79</v>
      </c>
    </row>
    <row r="23" spans="1:4" ht="26.1" customHeight="1" x14ac:dyDescent="0.25">
      <c r="B23" s="216" t="s">
        <v>28</v>
      </c>
      <c r="C23" s="216"/>
      <c r="D23" s="33" t="s">
        <v>78</v>
      </c>
    </row>
    <row r="24" spans="1:4" x14ac:dyDescent="0.25">
      <c r="B24" s="216"/>
      <c r="C24" s="216"/>
      <c r="D24" s="5"/>
    </row>
    <row r="25" spans="1:4" ht="26.1" customHeight="1" x14ac:dyDescent="0.25">
      <c r="B25" s="216" t="s">
        <v>18</v>
      </c>
      <c r="C25" s="216"/>
      <c r="D25" s="10" t="s">
        <v>72</v>
      </c>
    </row>
    <row r="26" spans="1:4" ht="26.1" customHeight="1" x14ac:dyDescent="0.25">
      <c r="B26" s="216" t="s">
        <v>19</v>
      </c>
      <c r="C26" s="216"/>
      <c r="D26" s="10">
        <v>4</v>
      </c>
    </row>
    <row r="27" spans="1:4" ht="20.25" thickBot="1" x14ac:dyDescent="0.3">
      <c r="D27" s="6"/>
    </row>
    <row r="28" spans="1:4" ht="20.25" thickBot="1" x14ac:dyDescent="0.3">
      <c r="B28" s="7" t="s">
        <v>20</v>
      </c>
      <c r="C28" s="14" t="s">
        <v>15</v>
      </c>
      <c r="D28" s="9" t="s">
        <v>16</v>
      </c>
    </row>
    <row r="29" spans="1:4" ht="26.1" customHeight="1" thickBot="1" x14ac:dyDescent="0.3">
      <c r="B29" s="16" t="s">
        <v>21</v>
      </c>
      <c r="C29" s="18">
        <v>1.6</v>
      </c>
      <c r="D29" s="18"/>
    </row>
    <row r="30" spans="1:4" ht="26.1" customHeight="1" thickBot="1" x14ac:dyDescent="0.3">
      <c r="B30" s="17" t="s">
        <v>22</v>
      </c>
      <c r="C30" s="18">
        <v>1.3</v>
      </c>
      <c r="D30" s="18"/>
    </row>
    <row r="31" spans="1:4" ht="26.1" customHeight="1" thickBot="1" x14ac:dyDescent="0.3">
      <c r="B31" s="17" t="s">
        <v>23</v>
      </c>
      <c r="C31" s="18">
        <v>1.4</v>
      </c>
      <c r="D31" s="18"/>
    </row>
    <row r="32" spans="1:4" ht="26.1" customHeight="1" thickBot="1" x14ac:dyDescent="0.3">
      <c r="B32" s="17" t="s">
        <v>24</v>
      </c>
      <c r="C32" s="18">
        <v>1.35</v>
      </c>
      <c r="D32" s="18"/>
    </row>
    <row r="33" spans="2:4" ht="20.25" thickBot="1" x14ac:dyDescent="0.3"/>
    <row r="34" spans="2:4" ht="20.25" x14ac:dyDescent="0.3">
      <c r="B34" s="238" t="s">
        <v>25</v>
      </c>
      <c r="C34" s="239"/>
      <c r="D34" s="240"/>
    </row>
    <row r="35" spans="2:4" x14ac:dyDescent="0.25">
      <c r="B35" s="241" t="s">
        <v>73</v>
      </c>
      <c r="C35" s="241"/>
      <c r="D35" s="241"/>
    </row>
    <row r="36" spans="2:4" x14ac:dyDescent="0.25">
      <c r="B36" s="241" t="s">
        <v>74</v>
      </c>
      <c r="C36" s="241"/>
      <c r="D36" s="241"/>
    </row>
    <row r="37" spans="2:4" x14ac:dyDescent="0.25">
      <c r="B37" s="241" t="s">
        <v>75</v>
      </c>
      <c r="C37" s="241"/>
      <c r="D37" s="241"/>
    </row>
    <row r="38" spans="2:4" x14ac:dyDescent="0.25">
      <c r="B38" s="241"/>
      <c r="C38" s="241"/>
      <c r="D38" s="241"/>
    </row>
    <row r="39" spans="2:4" x14ac:dyDescent="0.25">
      <c r="B39" s="241"/>
      <c r="C39" s="241"/>
      <c r="D39" s="241"/>
    </row>
    <row r="40" spans="2:4" x14ac:dyDescent="0.25">
      <c r="B40" s="241"/>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21">
    <pageSetUpPr fitToPage="1"/>
  </sheetPr>
  <dimension ref="A1:G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1.42578125" style="1"/>
    <col min="7" max="7" width="17.28515625" style="1" bestFit="1" customWidth="1"/>
    <col min="8" max="16384" width="11.42578125" style="1"/>
  </cols>
  <sheetData>
    <row r="1" spans="2:4" ht="20.25" thickBot="1" x14ac:dyDescent="0.3"/>
    <row r="2" spans="2:4" ht="27.75" thickBot="1" x14ac:dyDescent="0.4">
      <c r="B2" s="211" t="s">
        <v>56</v>
      </c>
      <c r="C2" s="212"/>
      <c r="D2" s="213"/>
    </row>
    <row r="4" spans="2:4" x14ac:dyDescent="0.25">
      <c r="B4" s="214" t="s">
        <v>30</v>
      </c>
      <c r="C4" s="214"/>
      <c r="D4" s="214"/>
    </row>
    <row r="5" spans="2:4" ht="20.25" thickBot="1" x14ac:dyDescent="0.3"/>
    <row r="6" spans="2:4" ht="20.25" thickBot="1" x14ac:dyDescent="0.3">
      <c r="B6" s="2" t="s">
        <v>3</v>
      </c>
      <c r="C6" s="3"/>
      <c r="D6" s="4" t="s">
        <v>16</v>
      </c>
    </row>
    <row r="7" spans="2:4" ht="26.1" customHeight="1" thickBot="1" x14ac:dyDescent="0.3">
      <c r="B7" s="227" t="s">
        <v>1</v>
      </c>
      <c r="C7" s="228"/>
      <c r="D7" s="20" t="s">
        <v>41</v>
      </c>
    </row>
    <row r="8" spans="2:4" ht="26.1" customHeight="1" x14ac:dyDescent="0.25">
      <c r="B8" s="227" t="s">
        <v>2</v>
      </c>
      <c r="C8" s="228"/>
      <c r="D8" s="5" t="s">
        <v>27</v>
      </c>
    </row>
    <row r="9" spans="2:4" ht="20.25" thickBot="1" x14ac:dyDescent="0.3">
      <c r="D9" s="6"/>
    </row>
    <row r="10" spans="2:4" ht="20.25" thickBot="1" x14ac:dyDescent="0.3">
      <c r="B10" s="7" t="s">
        <v>4</v>
      </c>
      <c r="C10" s="8" t="s">
        <v>15</v>
      </c>
      <c r="D10" s="9" t="s">
        <v>16</v>
      </c>
    </row>
    <row r="11" spans="2:4" ht="26.1" customHeight="1" thickBot="1" x14ac:dyDescent="0.3">
      <c r="B11" s="15" t="s">
        <v>5</v>
      </c>
      <c r="C11" s="18">
        <v>3.5</v>
      </c>
      <c r="D11" s="11"/>
    </row>
    <row r="12" spans="2:4" ht="26.1" customHeight="1" thickBot="1" x14ac:dyDescent="0.3">
      <c r="B12" s="15" t="s">
        <v>6</v>
      </c>
      <c r="C12" s="18">
        <v>3.4</v>
      </c>
      <c r="D12" s="30"/>
    </row>
    <row r="13" spans="2:4" ht="26.1" customHeight="1" thickBot="1" x14ac:dyDescent="0.3">
      <c r="B13" s="15" t="s">
        <v>7</v>
      </c>
      <c r="C13" s="18">
        <v>3.45</v>
      </c>
      <c r="D13" s="30"/>
    </row>
    <row r="14" spans="2:4" ht="26.1" customHeight="1" thickBot="1" x14ac:dyDescent="0.3">
      <c r="B14" s="15" t="s">
        <v>8</v>
      </c>
      <c r="C14" s="18">
        <v>2.15</v>
      </c>
      <c r="D14" s="30"/>
    </row>
    <row r="15" spans="2:4" ht="26.1" customHeight="1" thickBot="1" x14ac:dyDescent="0.3">
      <c r="B15" s="15" t="s">
        <v>9</v>
      </c>
      <c r="C15" s="18">
        <v>2.2000000000000002</v>
      </c>
      <c r="D15" s="30"/>
    </row>
    <row r="16" spans="2:4" ht="26.1" customHeight="1" thickBot="1" x14ac:dyDescent="0.3">
      <c r="B16" s="15" t="s">
        <v>10</v>
      </c>
      <c r="C16" s="18">
        <v>1.85</v>
      </c>
      <c r="D16" s="30"/>
    </row>
    <row r="17" spans="1:7" ht="26.1" customHeight="1" thickBot="1" x14ac:dyDescent="0.3">
      <c r="B17" s="15" t="s">
        <v>11</v>
      </c>
      <c r="C17" s="18"/>
      <c r="D17" s="11"/>
    </row>
    <row r="18" spans="1:7" ht="26.1" customHeight="1" thickBot="1" x14ac:dyDescent="0.3">
      <c r="B18" s="15" t="s">
        <v>12</v>
      </c>
      <c r="C18" s="18"/>
      <c r="D18" s="11"/>
    </row>
    <row r="19" spans="1:7" ht="26.1" customHeight="1" thickBot="1" x14ac:dyDescent="0.3">
      <c r="B19" s="15" t="s">
        <v>13</v>
      </c>
      <c r="C19" s="18"/>
      <c r="D19" s="11"/>
    </row>
    <row r="20" spans="1:7" ht="26.1" customHeight="1" thickBot="1" x14ac:dyDescent="0.3">
      <c r="B20" s="15" t="s">
        <v>14</v>
      </c>
      <c r="C20" s="18"/>
      <c r="D20" s="11"/>
    </row>
    <row r="21" spans="1:7" ht="21" thickBot="1" x14ac:dyDescent="0.35">
      <c r="B21" s="242" t="s">
        <v>29</v>
      </c>
      <c r="C21" s="243"/>
      <c r="D21" s="9" t="s">
        <v>16</v>
      </c>
      <c r="G21" s="62">
        <v>40106</v>
      </c>
    </row>
    <row r="22" spans="1:7" ht="26.1" customHeight="1" x14ac:dyDescent="0.25">
      <c r="B22" s="230" t="s">
        <v>17</v>
      </c>
      <c r="C22" s="230"/>
      <c r="D22" s="33" t="s">
        <v>313</v>
      </c>
      <c r="G22" s="1" t="s">
        <v>246</v>
      </c>
    </row>
    <row r="23" spans="1:7" ht="26.1" customHeight="1" x14ac:dyDescent="0.25">
      <c r="A23" s="1" t="s">
        <v>435</v>
      </c>
      <c r="B23" s="216" t="s">
        <v>28</v>
      </c>
      <c r="C23" s="216"/>
      <c r="D23" s="33" t="s">
        <v>62</v>
      </c>
      <c r="G23" s="1" t="s">
        <v>247</v>
      </c>
    </row>
    <row r="24" spans="1:7" x14ac:dyDescent="0.25">
      <c r="B24" s="216"/>
      <c r="C24" s="216"/>
      <c r="D24" s="5"/>
      <c r="G24" s="1" t="s">
        <v>248</v>
      </c>
    </row>
    <row r="25" spans="1:7" ht="26.1" customHeight="1" x14ac:dyDescent="0.25">
      <c r="B25" s="216" t="s">
        <v>18</v>
      </c>
      <c r="C25" s="216"/>
      <c r="D25" s="10" t="s">
        <v>63</v>
      </c>
    </row>
    <row r="26" spans="1:7" ht="26.1" customHeight="1" x14ac:dyDescent="0.25">
      <c r="B26" s="216" t="s">
        <v>19</v>
      </c>
      <c r="C26" s="216"/>
      <c r="D26" s="13">
        <v>0.03</v>
      </c>
    </row>
    <row r="27" spans="1:7" ht="20.25" thickBot="1" x14ac:dyDescent="0.3">
      <c r="D27" s="6"/>
    </row>
    <row r="28" spans="1:7" ht="20.25" thickBot="1" x14ac:dyDescent="0.3">
      <c r="B28" s="7" t="s">
        <v>20</v>
      </c>
      <c r="C28" s="14" t="s">
        <v>15</v>
      </c>
      <c r="D28" s="9" t="s">
        <v>145</v>
      </c>
      <c r="G28" s="62"/>
    </row>
    <row r="29" spans="1:7" ht="26.1" customHeight="1" thickBot="1" x14ac:dyDescent="0.3">
      <c r="B29" s="16" t="s">
        <v>21</v>
      </c>
      <c r="C29" s="18" t="s">
        <v>64</v>
      </c>
      <c r="D29" s="18"/>
    </row>
    <row r="30" spans="1:7" ht="26.1" customHeight="1" thickBot="1" x14ac:dyDescent="0.3">
      <c r="B30" s="17" t="s">
        <v>22</v>
      </c>
      <c r="C30" s="18">
        <v>1.25</v>
      </c>
      <c r="D30" s="18"/>
    </row>
    <row r="31" spans="1:7" ht="26.1" customHeight="1" thickBot="1" x14ac:dyDescent="0.3">
      <c r="B31" s="17" t="s">
        <v>23</v>
      </c>
      <c r="C31" s="18">
        <v>1.45</v>
      </c>
      <c r="D31" s="18"/>
    </row>
    <row r="32" spans="1:7" ht="26.1" customHeight="1" thickBot="1" x14ac:dyDescent="0.3">
      <c r="B32" s="17" t="s">
        <v>24</v>
      </c>
      <c r="C32" s="18">
        <v>1.4</v>
      </c>
      <c r="D32" s="18"/>
      <c r="E32" s="38"/>
    </row>
    <row r="33" spans="2:4" ht="20.25" thickBot="1" x14ac:dyDescent="0.3"/>
    <row r="34" spans="2:4" ht="20.25" x14ac:dyDescent="0.3">
      <c r="B34" s="238" t="s">
        <v>25</v>
      </c>
      <c r="C34" s="239"/>
      <c r="D34" s="240"/>
    </row>
    <row r="35" spans="2:4" x14ac:dyDescent="0.25">
      <c r="B35" s="241" t="s">
        <v>65</v>
      </c>
      <c r="C35" s="241"/>
      <c r="D35" s="241"/>
    </row>
    <row r="36" spans="2:4" x14ac:dyDescent="0.25">
      <c r="B36" s="241" t="s">
        <v>66</v>
      </c>
      <c r="C36" s="241"/>
      <c r="D36" s="241"/>
    </row>
    <row r="37" spans="2:4" x14ac:dyDescent="0.25">
      <c r="B37" s="241" t="s">
        <v>67</v>
      </c>
      <c r="C37" s="241"/>
      <c r="D37" s="241"/>
    </row>
    <row r="38" spans="2:4" x14ac:dyDescent="0.25">
      <c r="B38" s="241" t="s">
        <v>68</v>
      </c>
      <c r="C38" s="241"/>
      <c r="D38" s="241"/>
    </row>
    <row r="39" spans="2:4" x14ac:dyDescent="0.25">
      <c r="B39" s="241" t="s">
        <v>69</v>
      </c>
      <c r="C39" s="241"/>
      <c r="D39" s="241"/>
    </row>
    <row r="40" spans="2:4" x14ac:dyDescent="0.25">
      <c r="B40" s="241" t="s">
        <v>70</v>
      </c>
      <c r="C40" s="241"/>
      <c r="D40" s="24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40:D40"/>
    <mergeCell ref="B37:D37"/>
    <mergeCell ref="B38:D38"/>
    <mergeCell ref="B39:D39"/>
    <mergeCell ref="B42:D42"/>
    <mergeCell ref="B43:D43"/>
    <mergeCell ref="B44:D44"/>
    <mergeCell ref="B45:D45"/>
    <mergeCell ref="B50:D50"/>
    <mergeCell ref="B51:D51"/>
    <mergeCell ref="B46:D46"/>
    <mergeCell ref="B47:D47"/>
    <mergeCell ref="B48:D48"/>
    <mergeCell ref="B49:D49"/>
    <mergeCell ref="B2:D2"/>
    <mergeCell ref="B4:D4"/>
    <mergeCell ref="B35:D35"/>
    <mergeCell ref="B36:D36"/>
    <mergeCell ref="B21:C21"/>
    <mergeCell ref="B7:C7"/>
    <mergeCell ref="B8:C8"/>
    <mergeCell ref="B34:D34"/>
    <mergeCell ref="B22:C22"/>
    <mergeCell ref="B23:C23"/>
    <mergeCell ref="B24:C24"/>
    <mergeCell ref="B25:C25"/>
    <mergeCell ref="B26:C26"/>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22">
    <pageSetUpPr fitToPage="1"/>
  </sheetPr>
  <dimension ref="A1:G51"/>
  <sheetViews>
    <sheetView view="pageBreakPreview" zoomScale="40" zoomScaleNormal="100" zoomScaleSheetLayoutView="40" workbookViewId="0">
      <selection activeCell="E22" sqref="E22"/>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1.42578125" style="1"/>
    <col min="7" max="7" width="17.28515625" style="1" bestFit="1" customWidth="1"/>
    <col min="8" max="16384" width="11.42578125" style="1"/>
  </cols>
  <sheetData>
    <row r="1" spans="2:5" ht="20.25" thickBot="1" x14ac:dyDescent="0.3"/>
    <row r="2" spans="2:5" ht="27.75" thickBot="1" x14ac:dyDescent="0.4">
      <c r="B2" s="211" t="s">
        <v>57</v>
      </c>
      <c r="C2" s="212"/>
      <c r="D2" s="213"/>
      <c r="E2" s="37"/>
    </row>
    <row r="4" spans="2:5" x14ac:dyDescent="0.25">
      <c r="B4" s="214" t="s">
        <v>30</v>
      </c>
      <c r="C4" s="214"/>
      <c r="D4" s="214"/>
    </row>
    <row r="5" spans="2:5" ht="20.25" thickBot="1" x14ac:dyDescent="0.3"/>
    <row r="6" spans="2:5" x14ac:dyDescent="0.25">
      <c r="B6" s="2" t="s">
        <v>3</v>
      </c>
      <c r="C6" s="3"/>
      <c r="D6" s="4" t="s">
        <v>16</v>
      </c>
    </row>
    <row r="7" spans="2:5" ht="26.1" customHeight="1" x14ac:dyDescent="0.25">
      <c r="B7" s="227" t="s">
        <v>1</v>
      </c>
      <c r="C7" s="228"/>
      <c r="D7" s="5" t="s">
        <v>58</v>
      </c>
    </row>
    <row r="8" spans="2:5" ht="26.1" customHeight="1" x14ac:dyDescent="0.25">
      <c r="B8" s="227" t="s">
        <v>2</v>
      </c>
      <c r="C8" s="228"/>
      <c r="D8" s="5" t="s">
        <v>59</v>
      </c>
    </row>
    <row r="9" spans="2:5" ht="20.25" thickBot="1" x14ac:dyDescent="0.3">
      <c r="D9" s="6"/>
    </row>
    <row r="10" spans="2:5" ht="20.25" thickBot="1" x14ac:dyDescent="0.3">
      <c r="B10" s="7" t="s">
        <v>4</v>
      </c>
      <c r="C10" s="8" t="s">
        <v>15</v>
      </c>
      <c r="D10" s="9" t="s">
        <v>16</v>
      </c>
    </row>
    <row r="11" spans="2:5" ht="26.1" customHeight="1" x14ac:dyDescent="0.25">
      <c r="B11" s="15" t="s">
        <v>5</v>
      </c>
      <c r="C11" s="31">
        <v>3.5</v>
      </c>
      <c r="D11" s="11"/>
    </row>
    <row r="12" spans="2:5" ht="26.1" customHeight="1" x14ac:dyDescent="0.25">
      <c r="B12" s="15" t="s">
        <v>6</v>
      </c>
      <c r="C12" s="32">
        <v>3.4</v>
      </c>
      <c r="D12" s="30"/>
    </row>
    <row r="13" spans="2:5" ht="26.1" customHeight="1" x14ac:dyDescent="0.25">
      <c r="B13" s="15" t="s">
        <v>7</v>
      </c>
      <c r="C13" s="32">
        <v>3.48</v>
      </c>
      <c r="D13" s="30"/>
    </row>
    <row r="14" spans="2:5" ht="26.1" customHeight="1" x14ac:dyDescent="0.25">
      <c r="B14" s="15" t="s">
        <v>8</v>
      </c>
      <c r="C14" s="32">
        <v>2.2000000000000002</v>
      </c>
      <c r="D14" s="30"/>
    </row>
    <row r="15" spans="2:5" ht="26.1" customHeight="1" x14ac:dyDescent="0.25">
      <c r="B15" s="15" t="s">
        <v>9</v>
      </c>
      <c r="C15" s="32">
        <v>2.2000000000000002</v>
      </c>
      <c r="D15" s="30"/>
    </row>
    <row r="16" spans="2:5" ht="26.1" customHeight="1" x14ac:dyDescent="0.25">
      <c r="B16" s="15" t="s">
        <v>10</v>
      </c>
      <c r="C16" s="32">
        <v>1.85</v>
      </c>
      <c r="D16" s="30"/>
    </row>
    <row r="17" spans="1:7" ht="26.1" customHeight="1" x14ac:dyDescent="0.25">
      <c r="B17" s="15" t="s">
        <v>11</v>
      </c>
      <c r="C17" s="10"/>
      <c r="D17" s="11"/>
    </row>
    <row r="18" spans="1:7" ht="26.1" customHeight="1" x14ac:dyDescent="0.25">
      <c r="B18" s="15" t="s">
        <v>12</v>
      </c>
      <c r="C18" s="10"/>
      <c r="D18" s="11"/>
    </row>
    <row r="19" spans="1:7" ht="26.1" customHeight="1" x14ac:dyDescent="0.25">
      <c r="B19" s="15" t="s">
        <v>13</v>
      </c>
      <c r="C19" s="10"/>
      <c r="D19" s="11"/>
    </row>
    <row r="20" spans="1:7" ht="26.1" customHeight="1" thickBot="1" x14ac:dyDescent="0.3">
      <c r="B20" s="15" t="s">
        <v>14</v>
      </c>
      <c r="C20" s="10"/>
      <c r="D20" s="11"/>
    </row>
    <row r="21" spans="1:7" ht="21" thickBot="1" x14ac:dyDescent="0.35">
      <c r="B21" s="242" t="s">
        <v>29</v>
      </c>
      <c r="C21" s="243"/>
      <c r="D21" s="9" t="s">
        <v>16</v>
      </c>
    </row>
    <row r="22" spans="1:7" ht="26.1" customHeight="1" x14ac:dyDescent="0.25">
      <c r="B22" s="230" t="s">
        <v>17</v>
      </c>
      <c r="C22" s="230"/>
      <c r="D22" s="10" t="s">
        <v>151</v>
      </c>
    </row>
    <row r="23" spans="1:7" ht="26.1" customHeight="1" x14ac:dyDescent="0.25">
      <c r="B23" s="216" t="s">
        <v>28</v>
      </c>
      <c r="C23" s="216"/>
      <c r="D23" s="10" t="s">
        <v>152</v>
      </c>
    </row>
    <row r="24" spans="1:7" x14ac:dyDescent="0.25">
      <c r="A24" s="1" t="s">
        <v>436</v>
      </c>
      <c r="B24" s="216"/>
      <c r="C24" s="216"/>
      <c r="D24" s="5"/>
    </row>
    <row r="25" spans="1:7" ht="26.1" customHeight="1" x14ac:dyDescent="0.25">
      <c r="B25" s="216" t="s">
        <v>18</v>
      </c>
      <c r="C25" s="216"/>
      <c r="D25" s="5" t="s">
        <v>60</v>
      </c>
    </row>
    <row r="26" spans="1:7" ht="26.1" customHeight="1" x14ac:dyDescent="0.25">
      <c r="B26" s="216" t="s">
        <v>19</v>
      </c>
      <c r="C26" s="216"/>
      <c r="D26" s="13">
        <v>0.03</v>
      </c>
      <c r="G26" s="1" t="s">
        <v>314</v>
      </c>
    </row>
    <row r="27" spans="1:7" ht="20.25" thickBot="1" x14ac:dyDescent="0.3">
      <c r="D27" s="6"/>
      <c r="G27" s="1" t="s">
        <v>315</v>
      </c>
    </row>
    <row r="28" spans="1:7" ht="20.25" thickBot="1" x14ac:dyDescent="0.3">
      <c r="B28" s="7" t="s">
        <v>20</v>
      </c>
      <c r="C28" s="14" t="s">
        <v>15</v>
      </c>
      <c r="D28" s="9" t="s">
        <v>321</v>
      </c>
      <c r="G28" s="62">
        <v>41715</v>
      </c>
    </row>
    <row r="29" spans="1:7" ht="26.1" customHeight="1" x14ac:dyDescent="0.25">
      <c r="B29" s="16" t="s">
        <v>21</v>
      </c>
      <c r="C29" s="10">
        <v>1.5</v>
      </c>
      <c r="D29" s="11">
        <v>1.35</v>
      </c>
      <c r="G29" s="1">
        <v>1.32</v>
      </c>
    </row>
    <row r="30" spans="1:7" ht="26.1" customHeight="1" x14ac:dyDescent="0.25">
      <c r="B30" s="17" t="s">
        <v>22</v>
      </c>
      <c r="C30" s="5">
        <v>1.35</v>
      </c>
      <c r="D30" s="11">
        <v>1.25</v>
      </c>
      <c r="G30" s="1">
        <v>1.27</v>
      </c>
    </row>
    <row r="31" spans="1:7" ht="26.1" customHeight="1" x14ac:dyDescent="0.25">
      <c r="B31" s="17" t="s">
        <v>23</v>
      </c>
      <c r="C31" s="5">
        <v>1.45</v>
      </c>
      <c r="D31" s="11">
        <v>1.35</v>
      </c>
      <c r="G31" s="1">
        <v>1.32</v>
      </c>
    </row>
    <row r="32" spans="1:7" ht="26.1" customHeight="1" x14ac:dyDescent="0.25">
      <c r="B32" s="17" t="s">
        <v>24</v>
      </c>
      <c r="C32" s="5">
        <v>1.25</v>
      </c>
      <c r="D32" s="11">
        <v>1.1499999999999999</v>
      </c>
      <c r="G32" s="1">
        <v>1.1299999999999999</v>
      </c>
    </row>
    <row r="33" spans="2:4" ht="20.25" thickBot="1" x14ac:dyDescent="0.3"/>
    <row r="34" spans="2:4" ht="20.25" x14ac:dyDescent="0.3">
      <c r="B34" s="238" t="s">
        <v>25</v>
      </c>
      <c r="C34" s="239"/>
      <c r="D34" s="240"/>
    </row>
    <row r="35" spans="2:4" x14ac:dyDescent="0.25">
      <c r="B35" s="241" t="s">
        <v>61</v>
      </c>
      <c r="C35" s="241"/>
      <c r="D35" s="241"/>
    </row>
    <row r="36" spans="2:4" x14ac:dyDescent="0.25">
      <c r="B36" s="241"/>
      <c r="C36" s="241"/>
      <c r="D36" s="241"/>
    </row>
    <row r="37" spans="2:4" x14ac:dyDescent="0.25">
      <c r="B37" s="241"/>
      <c r="C37" s="241"/>
      <c r="D37" s="241"/>
    </row>
    <row r="38" spans="2:4" x14ac:dyDescent="0.25">
      <c r="B38" s="241"/>
      <c r="C38" s="241"/>
      <c r="D38" s="241"/>
    </row>
    <row r="39" spans="2:4" x14ac:dyDescent="0.25">
      <c r="B39" s="241"/>
      <c r="C39" s="241"/>
      <c r="D39" s="241"/>
    </row>
    <row r="40" spans="2:4" x14ac:dyDescent="0.25">
      <c r="B40" s="281"/>
      <c r="C40" s="281"/>
      <c r="D40" s="28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legacyDrawingHF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3">
    <pageSetUpPr fitToPage="1"/>
  </sheetPr>
  <dimension ref="A1:K51"/>
  <sheetViews>
    <sheetView zoomScale="40" zoomScaleNormal="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1.42578125" style="1"/>
    <col min="7" max="7" width="23.5703125" style="1" customWidth="1"/>
    <col min="8" max="8" width="17.28515625" style="1" bestFit="1" customWidth="1"/>
    <col min="9" max="9" width="11.42578125" style="1"/>
    <col min="10" max="10" width="35" style="1" customWidth="1"/>
    <col min="11" max="11" width="33.28515625" style="1" customWidth="1"/>
    <col min="12" max="16384" width="11.42578125" style="1"/>
  </cols>
  <sheetData>
    <row r="1" spans="2:11" ht="20.25" thickBot="1" x14ac:dyDescent="0.3">
      <c r="E1" s="38"/>
    </row>
    <row r="2" spans="2:11" ht="27.75" thickBot="1" x14ac:dyDescent="0.4">
      <c r="B2" s="211" t="s">
        <v>53</v>
      </c>
      <c r="C2" s="212"/>
      <c r="D2" s="213"/>
    </row>
    <row r="4" spans="2:11" x14ac:dyDescent="0.25">
      <c r="B4" s="214" t="s">
        <v>30</v>
      </c>
      <c r="C4" s="214"/>
      <c r="D4" s="214"/>
      <c r="J4" s="29"/>
      <c r="K4" s="29"/>
    </row>
    <row r="5" spans="2:11" ht="20.25" thickBot="1" x14ac:dyDescent="0.3">
      <c r="J5" s="113"/>
      <c r="K5" s="113"/>
    </row>
    <row r="6" spans="2:11" ht="20.25" thickBot="1" x14ac:dyDescent="0.3">
      <c r="B6" s="2" t="s">
        <v>3</v>
      </c>
      <c r="C6" s="3"/>
      <c r="D6" s="4" t="s">
        <v>16</v>
      </c>
      <c r="J6" s="114"/>
      <c r="K6" s="114"/>
    </row>
    <row r="7" spans="2:11" ht="26.1" customHeight="1" thickBot="1" x14ac:dyDescent="0.3">
      <c r="B7" s="227" t="s">
        <v>1</v>
      </c>
      <c r="C7" s="228"/>
      <c r="D7" s="20" t="s">
        <v>90</v>
      </c>
      <c r="J7" s="112"/>
      <c r="K7" s="112"/>
    </row>
    <row r="8" spans="2:11" ht="26.1" customHeight="1" thickBot="1" x14ac:dyDescent="0.3">
      <c r="B8" s="227" t="s">
        <v>2</v>
      </c>
      <c r="C8" s="228"/>
      <c r="D8" s="20" t="s">
        <v>116</v>
      </c>
      <c r="J8" s="112"/>
      <c r="K8" s="112"/>
    </row>
    <row r="9" spans="2:11" ht="20.25" thickBot="1" x14ac:dyDescent="0.3">
      <c r="D9" s="6"/>
      <c r="J9" s="6"/>
      <c r="K9" s="6"/>
    </row>
    <row r="10" spans="2:11" ht="20.25" thickBot="1" x14ac:dyDescent="0.3">
      <c r="B10" s="7" t="s">
        <v>4</v>
      </c>
      <c r="C10" s="8" t="s">
        <v>15</v>
      </c>
      <c r="D10" s="9" t="s">
        <v>16</v>
      </c>
      <c r="J10" s="114"/>
      <c r="K10" s="114"/>
    </row>
    <row r="11" spans="2:11" ht="26.1" customHeight="1" thickBot="1" x14ac:dyDescent="0.3">
      <c r="B11" s="15" t="s">
        <v>5</v>
      </c>
      <c r="C11" s="20">
        <v>3.4</v>
      </c>
      <c r="D11" s="11"/>
      <c r="J11" s="112"/>
      <c r="K11" s="112"/>
    </row>
    <row r="12" spans="2:11" ht="26.1" customHeight="1" thickBot="1" x14ac:dyDescent="0.3">
      <c r="B12" s="15" t="s">
        <v>6</v>
      </c>
      <c r="C12" s="20">
        <v>3.4</v>
      </c>
      <c r="D12" s="11"/>
      <c r="J12" s="112"/>
      <c r="K12" s="112"/>
    </row>
    <row r="13" spans="2:11" ht="26.1" customHeight="1" thickBot="1" x14ac:dyDescent="0.3">
      <c r="B13" s="15" t="s">
        <v>7</v>
      </c>
      <c r="C13" s="20">
        <v>3.48</v>
      </c>
      <c r="D13" s="11"/>
      <c r="J13" s="112"/>
      <c r="K13" s="112"/>
    </row>
    <row r="14" spans="2:11" ht="26.1" customHeight="1" thickBot="1" x14ac:dyDescent="0.3">
      <c r="B14" s="15" t="s">
        <v>8</v>
      </c>
      <c r="C14" s="20">
        <v>2.2000000000000002</v>
      </c>
      <c r="D14" s="11"/>
      <c r="G14" s="62"/>
      <c r="H14" s="62"/>
      <c r="J14" s="112"/>
      <c r="K14" s="112"/>
    </row>
    <row r="15" spans="2:11" ht="26.1" customHeight="1" thickBot="1" x14ac:dyDescent="0.3">
      <c r="B15" s="15" t="s">
        <v>9</v>
      </c>
      <c r="C15" s="20">
        <v>2.2000000000000002</v>
      </c>
      <c r="D15" s="11"/>
      <c r="J15" s="112"/>
      <c r="K15" s="112"/>
    </row>
    <row r="16" spans="2:11" ht="26.1" customHeight="1" thickBot="1" x14ac:dyDescent="0.3">
      <c r="B16" s="15" t="s">
        <v>10</v>
      </c>
      <c r="C16" s="20">
        <v>1.85</v>
      </c>
      <c r="D16" s="11"/>
      <c r="J16" s="112"/>
      <c r="K16" s="112"/>
    </row>
    <row r="17" spans="1:11" ht="26.1" customHeight="1" thickBot="1" x14ac:dyDescent="0.3">
      <c r="B17" s="15" t="s">
        <v>11</v>
      </c>
      <c r="C17" s="20"/>
      <c r="D17" s="11"/>
      <c r="J17" s="6"/>
      <c r="K17" s="6"/>
    </row>
    <row r="18" spans="1:11" ht="26.1" customHeight="1" thickBot="1" x14ac:dyDescent="0.3">
      <c r="B18" s="15" t="s">
        <v>12</v>
      </c>
      <c r="C18" s="20"/>
      <c r="D18" s="11"/>
      <c r="J18" s="6"/>
      <c r="K18" s="6"/>
    </row>
    <row r="19" spans="1:11" ht="26.1" customHeight="1" thickBot="1" x14ac:dyDescent="0.3">
      <c r="B19" s="15" t="s">
        <v>13</v>
      </c>
      <c r="C19" s="20"/>
      <c r="D19" s="11"/>
      <c r="J19" s="6"/>
      <c r="K19" s="6"/>
    </row>
    <row r="20" spans="1:11" ht="26.1" customHeight="1" thickBot="1" x14ac:dyDescent="0.3">
      <c r="B20" s="15" t="s">
        <v>14</v>
      </c>
      <c r="C20" s="10"/>
      <c r="D20" s="11"/>
      <c r="J20" s="6"/>
      <c r="K20" s="6"/>
    </row>
    <row r="21" spans="1:11" ht="21" thickBot="1" x14ac:dyDescent="0.35">
      <c r="B21" s="242" t="s">
        <v>29</v>
      </c>
      <c r="C21" s="243"/>
      <c r="D21" s="9" t="s">
        <v>16</v>
      </c>
      <c r="G21" s="62"/>
      <c r="J21" s="114"/>
      <c r="K21" s="114"/>
    </row>
    <row r="22" spans="1:11" ht="26.1" customHeight="1" x14ac:dyDescent="0.25">
      <c r="B22" s="230" t="s">
        <v>17</v>
      </c>
      <c r="C22" s="230"/>
      <c r="D22" s="10" t="s">
        <v>313</v>
      </c>
      <c r="J22" s="29"/>
      <c r="K22" s="29"/>
    </row>
    <row r="23" spans="1:11" ht="26.1" customHeight="1" x14ac:dyDescent="0.25">
      <c r="B23" s="216" t="s">
        <v>271</v>
      </c>
      <c r="C23" s="216"/>
      <c r="D23" s="10" t="s">
        <v>272</v>
      </c>
      <c r="J23" s="29"/>
      <c r="K23" s="29"/>
    </row>
    <row r="24" spans="1:11" x14ac:dyDescent="0.25">
      <c r="B24" s="216"/>
      <c r="C24" s="216"/>
      <c r="D24" s="5"/>
      <c r="J24" s="29"/>
      <c r="K24" s="29"/>
    </row>
    <row r="25" spans="1:11" ht="26.1" customHeight="1" x14ac:dyDescent="0.25">
      <c r="A25" s="1">
        <v>8</v>
      </c>
      <c r="B25" s="216" t="s">
        <v>18</v>
      </c>
      <c r="C25" s="216"/>
      <c r="D25" s="10" t="s">
        <v>268</v>
      </c>
      <c r="J25" s="29"/>
      <c r="K25" s="29"/>
    </row>
    <row r="26" spans="1:11" ht="26.1" customHeight="1" x14ac:dyDescent="0.25">
      <c r="B26" s="216" t="s">
        <v>19</v>
      </c>
      <c r="C26" s="216"/>
      <c r="D26" s="13">
        <v>0.03</v>
      </c>
      <c r="J26" s="115"/>
      <c r="K26" s="115"/>
    </row>
    <row r="27" spans="1:11" ht="20.25" thickBot="1" x14ac:dyDescent="0.3">
      <c r="D27" s="6"/>
      <c r="J27" s="6"/>
      <c r="K27" s="6"/>
    </row>
    <row r="28" spans="1:11" ht="20.25" thickBot="1" x14ac:dyDescent="0.3">
      <c r="B28" s="7" t="s">
        <v>20</v>
      </c>
      <c r="C28" s="14" t="s">
        <v>15</v>
      </c>
      <c r="D28" s="9" t="s">
        <v>267</v>
      </c>
      <c r="J28" s="114"/>
      <c r="K28" s="114"/>
    </row>
    <row r="29" spans="1:11" ht="26.1" customHeight="1" thickBot="1" x14ac:dyDescent="0.3">
      <c r="B29" s="16" t="s">
        <v>21</v>
      </c>
      <c r="C29" s="20">
        <v>1.5</v>
      </c>
      <c r="D29" s="11"/>
      <c r="J29" s="6"/>
      <c r="K29" s="6"/>
    </row>
    <row r="30" spans="1:11" ht="26.1" customHeight="1" thickBot="1" x14ac:dyDescent="0.3">
      <c r="B30" s="17" t="s">
        <v>22</v>
      </c>
      <c r="C30" s="20">
        <v>1.4</v>
      </c>
      <c r="D30" s="12"/>
      <c r="J30" s="6"/>
      <c r="K30" s="6"/>
    </row>
    <row r="31" spans="1:11" ht="26.1" customHeight="1" thickBot="1" x14ac:dyDescent="0.3">
      <c r="B31" s="17" t="s">
        <v>23</v>
      </c>
      <c r="C31" s="20">
        <v>1.45</v>
      </c>
      <c r="D31" s="12"/>
      <c r="J31" s="6"/>
      <c r="K31" s="6"/>
    </row>
    <row r="32" spans="1:11" ht="26.1" customHeight="1" thickBot="1" x14ac:dyDescent="0.3">
      <c r="B32" s="17" t="s">
        <v>24</v>
      </c>
      <c r="C32" s="20">
        <v>1.2</v>
      </c>
      <c r="D32" s="12"/>
      <c r="G32" s="1" t="s">
        <v>309</v>
      </c>
      <c r="J32" s="6"/>
      <c r="K32" s="6"/>
    </row>
    <row r="33" spans="2:11" ht="20.25" customHeight="1" thickBot="1" x14ac:dyDescent="0.3">
      <c r="J33" s="116"/>
      <c r="K33" s="116"/>
    </row>
    <row r="34" spans="2:11" ht="20.25" customHeight="1" x14ac:dyDescent="0.3">
      <c r="B34" s="238" t="s">
        <v>25</v>
      </c>
      <c r="C34" s="239"/>
      <c r="D34" s="240"/>
      <c r="J34" s="282"/>
      <c r="K34" s="282"/>
    </row>
    <row r="35" spans="2:11" x14ac:dyDescent="0.25">
      <c r="B35" s="241" t="s">
        <v>55</v>
      </c>
      <c r="C35" s="241"/>
      <c r="D35" s="241"/>
      <c r="J35" s="282"/>
      <c r="K35" s="282"/>
    </row>
    <row r="36" spans="2:11" x14ac:dyDescent="0.25">
      <c r="B36" s="241" t="s">
        <v>270</v>
      </c>
      <c r="C36" s="241"/>
      <c r="D36" s="241"/>
      <c r="J36" s="282"/>
      <c r="K36" s="282"/>
    </row>
    <row r="37" spans="2:11" x14ac:dyDescent="0.25">
      <c r="B37" s="274"/>
      <c r="C37" s="274"/>
      <c r="D37" s="274"/>
      <c r="J37" s="282"/>
      <c r="K37" s="282"/>
    </row>
    <row r="38" spans="2:11" ht="20.25" x14ac:dyDescent="0.25">
      <c r="B38" s="241"/>
      <c r="C38" s="241"/>
      <c r="D38" s="241"/>
      <c r="G38" s="112"/>
      <c r="J38" s="282"/>
      <c r="K38" s="282"/>
    </row>
    <row r="39" spans="2:11" ht="20.25" x14ac:dyDescent="0.25">
      <c r="B39" s="241"/>
      <c r="C39" s="241"/>
      <c r="D39" s="241"/>
      <c r="G39" s="112"/>
      <c r="J39" s="282"/>
      <c r="K39" s="282"/>
    </row>
    <row r="40" spans="2:11" ht="20.25" x14ac:dyDescent="0.25">
      <c r="B40" s="241"/>
      <c r="C40" s="241"/>
      <c r="D40" s="241"/>
      <c r="G40" s="112"/>
      <c r="J40" s="282"/>
      <c r="K40" s="282"/>
    </row>
    <row r="41" spans="2:11" ht="20.25" x14ac:dyDescent="0.25">
      <c r="G41" s="112"/>
      <c r="J41" s="282"/>
      <c r="K41" s="282"/>
    </row>
    <row r="42" spans="2:11" x14ac:dyDescent="0.25">
      <c r="B42" s="202"/>
      <c r="C42" s="202"/>
      <c r="D42" s="202"/>
      <c r="J42" s="282"/>
      <c r="K42" s="282"/>
    </row>
    <row r="43" spans="2:11" x14ac:dyDescent="0.25">
      <c r="B43" s="202"/>
      <c r="C43" s="202"/>
      <c r="D43" s="202"/>
    </row>
    <row r="44" spans="2:11" x14ac:dyDescent="0.25">
      <c r="B44" s="202"/>
      <c r="C44" s="202"/>
      <c r="D44" s="202"/>
    </row>
    <row r="45" spans="2:11" x14ac:dyDescent="0.25">
      <c r="B45" s="202"/>
      <c r="C45" s="202"/>
      <c r="D45" s="202"/>
    </row>
    <row r="46" spans="2:11" x14ac:dyDescent="0.25">
      <c r="B46" s="202"/>
      <c r="C46" s="202"/>
      <c r="D46" s="202"/>
    </row>
    <row r="47" spans="2:11" x14ac:dyDescent="0.25">
      <c r="B47" s="202"/>
      <c r="C47" s="202"/>
      <c r="D47" s="202"/>
    </row>
    <row r="48" spans="2:11"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9">
    <mergeCell ref="B51:D51"/>
    <mergeCell ref="B46:D46"/>
    <mergeCell ref="B47:D47"/>
    <mergeCell ref="B48:D48"/>
    <mergeCell ref="B49:D49"/>
    <mergeCell ref="J34:J42"/>
    <mergeCell ref="K34:K42"/>
    <mergeCell ref="B50:D50"/>
    <mergeCell ref="B38:D38"/>
    <mergeCell ref="B44:D44"/>
    <mergeCell ref="B39:D39"/>
    <mergeCell ref="B45:D45"/>
    <mergeCell ref="B40:D40"/>
    <mergeCell ref="B37:D37"/>
    <mergeCell ref="B42:D42"/>
    <mergeCell ref="B43:D43"/>
    <mergeCell ref="B2:D2"/>
    <mergeCell ref="B4:D4"/>
    <mergeCell ref="B35:D35"/>
    <mergeCell ref="B36:D36"/>
    <mergeCell ref="B21:C21"/>
    <mergeCell ref="B34:D34"/>
    <mergeCell ref="B23:C23"/>
    <mergeCell ref="B24:C24"/>
    <mergeCell ref="B25:C25"/>
    <mergeCell ref="B26:C26"/>
    <mergeCell ref="B7:C7"/>
    <mergeCell ref="B8:C8"/>
    <mergeCell ref="B22:C22"/>
  </mergeCells>
  <phoneticPr fontId="17" type="noConversion"/>
  <pageMargins left="0.78740157480314965" right="0.78740157480314965" top="0" bottom="0" header="0" footer="0"/>
  <pageSetup paperSize="9" scale="83" orientation="portrait" r:id="rId1"/>
  <headerFooter alignWithMargins="0">
    <oddHeader>&amp;L&amp;"Tahoma,Negrita"&amp;12   &amp;G
&amp;R&amp;"Tahoma,Negrita"&amp;12
Tren de Alambrón
Gijón</oddHeader>
  </headerFooter>
  <legacyDrawingHF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4">
    <pageSetUpPr fitToPage="1"/>
  </sheetPr>
  <dimension ref="A1:K51"/>
  <sheetViews>
    <sheetView zoomScale="40" zoomScaleNormal="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1.42578125" style="1"/>
    <col min="7" max="7" width="23.5703125" style="1" customWidth="1"/>
    <col min="8" max="8" width="17.28515625" style="1" bestFit="1" customWidth="1"/>
    <col min="9" max="9" width="11.42578125" style="1"/>
    <col min="10" max="10" width="35" style="1" customWidth="1"/>
    <col min="11" max="11" width="33.28515625" style="1" customWidth="1"/>
    <col min="12" max="16384" width="11.42578125" style="1"/>
  </cols>
  <sheetData>
    <row r="1" spans="2:11" ht="20.25" thickBot="1" x14ac:dyDescent="0.3">
      <c r="E1" s="38"/>
    </row>
    <row r="2" spans="2:11" ht="27.75" thickBot="1" x14ac:dyDescent="0.4">
      <c r="B2" s="211" t="s">
        <v>312</v>
      </c>
      <c r="C2" s="212"/>
      <c r="D2" s="213"/>
    </row>
    <row r="3" spans="2:11" ht="20.25" thickBot="1" x14ac:dyDescent="0.3"/>
    <row r="4" spans="2:11" x14ac:dyDescent="0.25">
      <c r="B4" s="214" t="s">
        <v>30</v>
      </c>
      <c r="C4" s="214"/>
      <c r="D4" s="214"/>
      <c r="J4" s="79" t="s">
        <v>239</v>
      </c>
      <c r="K4" s="80" t="s">
        <v>240</v>
      </c>
    </row>
    <row r="5" spans="2:11" ht="20.25" thickBot="1" x14ac:dyDescent="0.3">
      <c r="J5" s="95">
        <v>40371</v>
      </c>
      <c r="K5" s="96">
        <v>40371</v>
      </c>
    </row>
    <row r="6" spans="2:11" ht="20.25" thickBot="1" x14ac:dyDescent="0.3">
      <c r="B6" s="2" t="s">
        <v>3</v>
      </c>
      <c r="C6" s="3"/>
      <c r="D6" s="4" t="s">
        <v>16</v>
      </c>
      <c r="J6" s="81" t="s">
        <v>16</v>
      </c>
      <c r="K6" s="4" t="s">
        <v>16</v>
      </c>
    </row>
    <row r="7" spans="2:11" ht="26.1" customHeight="1" thickBot="1" x14ac:dyDescent="0.3">
      <c r="B7" s="227" t="s">
        <v>1</v>
      </c>
      <c r="C7" s="228"/>
      <c r="D7" s="20" t="s">
        <v>90</v>
      </c>
      <c r="J7" s="82" t="s">
        <v>250</v>
      </c>
      <c r="K7" s="20"/>
    </row>
    <row r="8" spans="2:11" ht="26.1" customHeight="1" thickBot="1" x14ac:dyDescent="0.3">
      <c r="B8" s="227" t="s">
        <v>2</v>
      </c>
      <c r="C8" s="228"/>
      <c r="D8" s="20" t="s">
        <v>116</v>
      </c>
      <c r="J8" s="82">
        <v>325</v>
      </c>
      <c r="K8" s="20"/>
    </row>
    <row r="9" spans="2:11" ht="20.25" thickBot="1" x14ac:dyDescent="0.3">
      <c r="D9" s="6"/>
      <c r="J9" s="83"/>
      <c r="K9" s="84"/>
    </row>
    <row r="10" spans="2:11" ht="20.25" thickBot="1" x14ac:dyDescent="0.3">
      <c r="B10" s="7" t="s">
        <v>4</v>
      </c>
      <c r="C10" s="8" t="s">
        <v>15</v>
      </c>
      <c r="D10" s="9" t="s">
        <v>16</v>
      </c>
      <c r="J10" s="85" t="s">
        <v>16</v>
      </c>
      <c r="K10" s="9" t="s">
        <v>16</v>
      </c>
    </row>
    <row r="11" spans="2:11" ht="26.1" customHeight="1" thickBot="1" x14ac:dyDescent="0.3">
      <c r="B11" s="15" t="s">
        <v>5</v>
      </c>
      <c r="C11" s="20">
        <v>3.4</v>
      </c>
      <c r="D11" s="11"/>
      <c r="J11" s="82">
        <v>3.4</v>
      </c>
      <c r="K11" s="20">
        <v>3.4</v>
      </c>
    </row>
    <row r="12" spans="2:11" ht="26.1" customHeight="1" thickBot="1" x14ac:dyDescent="0.3">
      <c r="B12" s="15" t="s">
        <v>6</v>
      </c>
      <c r="C12" s="20">
        <v>3.4</v>
      </c>
      <c r="D12" s="11"/>
      <c r="J12" s="82">
        <v>3.4</v>
      </c>
      <c r="K12" s="20">
        <v>3.4</v>
      </c>
    </row>
    <row r="13" spans="2:11" ht="26.1" customHeight="1" thickBot="1" x14ac:dyDescent="0.3">
      <c r="B13" s="15" t="s">
        <v>7</v>
      </c>
      <c r="C13" s="20">
        <v>3.48</v>
      </c>
      <c r="D13" s="11"/>
      <c r="H13" s="1" t="s">
        <v>245</v>
      </c>
      <c r="J13" s="82">
        <v>3.48</v>
      </c>
      <c r="K13" s="20">
        <v>3.48</v>
      </c>
    </row>
    <row r="14" spans="2:11" ht="26.1" customHeight="1" thickBot="1" x14ac:dyDescent="0.3">
      <c r="B14" s="15" t="s">
        <v>8</v>
      </c>
      <c r="C14" s="20">
        <v>2.2000000000000002</v>
      </c>
      <c r="D14" s="11"/>
      <c r="G14" s="73"/>
      <c r="H14" s="62">
        <v>40018</v>
      </c>
      <c r="J14" s="82">
        <v>2.2000000000000002</v>
      </c>
      <c r="K14" s="20">
        <v>2.2000000000000002</v>
      </c>
    </row>
    <row r="15" spans="2:11" ht="26.1" customHeight="1" thickBot="1" x14ac:dyDescent="0.3">
      <c r="B15" s="15" t="s">
        <v>9</v>
      </c>
      <c r="C15" s="20">
        <v>2.2000000000000002</v>
      </c>
      <c r="D15" s="11"/>
      <c r="G15" s="56"/>
      <c r="J15" s="82">
        <v>2.2000000000000002</v>
      </c>
      <c r="K15" s="20">
        <v>2.2000000000000002</v>
      </c>
    </row>
    <row r="16" spans="2:11" ht="26.1" customHeight="1" thickBot="1" x14ac:dyDescent="0.3">
      <c r="B16" s="15" t="s">
        <v>10</v>
      </c>
      <c r="C16" s="20">
        <v>1.85</v>
      </c>
      <c r="D16" s="11"/>
      <c r="G16" s="56">
        <v>1.7</v>
      </c>
      <c r="H16" s="1">
        <v>1.65</v>
      </c>
      <c r="J16" s="82">
        <v>1.85</v>
      </c>
      <c r="K16" s="20">
        <v>1.85</v>
      </c>
    </row>
    <row r="17" spans="1:11" ht="26.1" customHeight="1" thickBot="1" x14ac:dyDescent="0.3">
      <c r="B17" s="15" t="s">
        <v>11</v>
      </c>
      <c r="C17" s="20"/>
      <c r="D17" s="11"/>
      <c r="G17" s="56"/>
      <c r="J17" s="86"/>
      <c r="K17" s="87"/>
    </row>
    <row r="18" spans="1:11" ht="26.1" customHeight="1" thickBot="1" x14ac:dyDescent="0.3">
      <c r="B18" s="15" t="s">
        <v>12</v>
      </c>
      <c r="C18" s="20"/>
      <c r="D18" s="11"/>
      <c r="G18" s="56"/>
      <c r="J18" s="86"/>
      <c r="K18" s="87"/>
    </row>
    <row r="19" spans="1:11" ht="26.1" customHeight="1" thickBot="1" x14ac:dyDescent="0.3">
      <c r="B19" s="15" t="s">
        <v>13</v>
      </c>
      <c r="C19" s="20"/>
      <c r="D19" s="11"/>
      <c r="G19" s="56"/>
      <c r="J19" s="86"/>
      <c r="K19" s="87"/>
    </row>
    <row r="20" spans="1:11" ht="26.1" customHeight="1" thickBot="1" x14ac:dyDescent="0.3">
      <c r="B20" s="15" t="s">
        <v>14</v>
      </c>
      <c r="C20" s="10"/>
      <c r="D20" s="11"/>
      <c r="G20" s="56"/>
      <c r="J20" s="86"/>
      <c r="K20" s="87"/>
    </row>
    <row r="21" spans="1:11" ht="21" thickBot="1" x14ac:dyDescent="0.35">
      <c r="B21" s="242" t="s">
        <v>29</v>
      </c>
      <c r="C21" s="243"/>
      <c r="D21" s="9" t="s">
        <v>16</v>
      </c>
      <c r="G21" s="73">
        <v>39995</v>
      </c>
      <c r="J21" s="85" t="s">
        <v>16</v>
      </c>
      <c r="K21" s="9" t="s">
        <v>16</v>
      </c>
    </row>
    <row r="22" spans="1:11" ht="26.1" customHeight="1" x14ac:dyDescent="0.25">
      <c r="B22" s="230" t="s">
        <v>17</v>
      </c>
      <c r="C22" s="230"/>
      <c r="D22" s="10" t="s">
        <v>269</v>
      </c>
      <c r="G22" s="56">
        <v>96.8</v>
      </c>
      <c r="H22" s="1">
        <v>101</v>
      </c>
      <c r="J22" s="88"/>
      <c r="K22" s="54">
        <v>95</v>
      </c>
    </row>
    <row r="23" spans="1:11" ht="26.1" customHeight="1" x14ac:dyDescent="0.25">
      <c r="B23" s="216" t="s">
        <v>271</v>
      </c>
      <c r="C23" s="216"/>
      <c r="D23" s="10" t="s">
        <v>272</v>
      </c>
      <c r="G23" s="56" t="s">
        <v>243</v>
      </c>
      <c r="J23" s="88"/>
      <c r="K23" s="54" t="s">
        <v>251</v>
      </c>
    </row>
    <row r="24" spans="1:11" x14ac:dyDescent="0.25">
      <c r="B24" s="216"/>
      <c r="C24" s="216"/>
      <c r="D24" s="5"/>
      <c r="G24" s="56"/>
      <c r="J24" s="89"/>
      <c r="K24" s="53"/>
    </row>
    <row r="25" spans="1:11" ht="26.1" customHeight="1" x14ac:dyDescent="0.25">
      <c r="B25" s="216" t="s">
        <v>18</v>
      </c>
      <c r="C25" s="216"/>
      <c r="D25" s="10" t="s">
        <v>268</v>
      </c>
      <c r="G25" s="56"/>
      <c r="J25" s="88">
        <v>0.96</v>
      </c>
      <c r="K25" s="54">
        <v>0.96</v>
      </c>
    </row>
    <row r="26" spans="1:11" ht="26.1" customHeight="1" x14ac:dyDescent="0.25">
      <c r="A26" s="1" t="s">
        <v>437</v>
      </c>
      <c r="B26" s="216" t="s">
        <v>19</v>
      </c>
      <c r="C26" s="216"/>
      <c r="D26" s="13">
        <v>0.03</v>
      </c>
      <c r="G26" s="56"/>
      <c r="J26" s="90">
        <v>0.03</v>
      </c>
      <c r="K26" s="91">
        <v>0.03</v>
      </c>
    </row>
    <row r="27" spans="1:11" ht="20.25" thickBot="1" x14ac:dyDescent="0.3">
      <c r="D27" s="6"/>
      <c r="G27" s="56"/>
      <c r="J27" s="83"/>
      <c r="K27" s="84"/>
    </row>
    <row r="28" spans="1:11" ht="20.25" thickBot="1" x14ac:dyDescent="0.3">
      <c r="B28" s="7" t="s">
        <v>20</v>
      </c>
      <c r="C28" s="14" t="s">
        <v>15</v>
      </c>
      <c r="D28" s="9" t="s">
        <v>267</v>
      </c>
      <c r="G28" s="56"/>
      <c r="J28" s="85" t="s">
        <v>16</v>
      </c>
      <c r="K28" s="9" t="s">
        <v>16</v>
      </c>
    </row>
    <row r="29" spans="1:11" ht="26.1" customHeight="1" thickBot="1" x14ac:dyDescent="0.3">
      <c r="B29" s="16" t="s">
        <v>21</v>
      </c>
      <c r="C29" s="20">
        <v>1.5</v>
      </c>
      <c r="D29" s="11">
        <v>1.4</v>
      </c>
      <c r="G29" s="56"/>
      <c r="H29" s="1">
        <v>1.55</v>
      </c>
      <c r="J29" s="86">
        <v>1.35</v>
      </c>
      <c r="K29" s="87">
        <v>1.32</v>
      </c>
    </row>
    <row r="30" spans="1:11" ht="26.1" customHeight="1" thickBot="1" x14ac:dyDescent="0.3">
      <c r="B30" s="17" t="s">
        <v>22</v>
      </c>
      <c r="C30" s="20">
        <v>1.4</v>
      </c>
      <c r="D30" s="12">
        <v>1.35</v>
      </c>
      <c r="G30" s="56" t="s">
        <v>244</v>
      </c>
      <c r="H30" s="1">
        <v>1.45</v>
      </c>
      <c r="J30" s="64">
        <v>1.25</v>
      </c>
      <c r="K30" s="65">
        <v>1.22</v>
      </c>
    </row>
    <row r="31" spans="1:11" ht="26.1" customHeight="1" thickBot="1" x14ac:dyDescent="0.3">
      <c r="B31" s="17" t="s">
        <v>23</v>
      </c>
      <c r="C31" s="20">
        <v>1.45</v>
      </c>
      <c r="D31" s="12">
        <v>1.4</v>
      </c>
      <c r="G31" s="56"/>
      <c r="H31" s="1">
        <v>1.45</v>
      </c>
      <c r="J31" s="64">
        <v>1.35</v>
      </c>
      <c r="K31" s="65">
        <v>1.35</v>
      </c>
    </row>
    <row r="32" spans="1:11" ht="26.1" customHeight="1" thickBot="1" x14ac:dyDescent="0.3">
      <c r="B32" s="17" t="s">
        <v>24</v>
      </c>
      <c r="C32" s="20">
        <v>1.22</v>
      </c>
      <c r="D32" s="12">
        <v>1.25</v>
      </c>
      <c r="G32" s="56"/>
      <c r="H32" s="1">
        <v>1.2</v>
      </c>
      <c r="J32" s="93">
        <v>1.05</v>
      </c>
      <c r="K32" s="65">
        <v>1.1100000000000001</v>
      </c>
    </row>
    <row r="33" spans="2:11" ht="20.25" customHeight="1" thickBot="1" x14ac:dyDescent="0.3">
      <c r="G33" s="74"/>
      <c r="H33" s="75">
        <v>0.11</v>
      </c>
      <c r="J33" s="94" t="s">
        <v>252</v>
      </c>
      <c r="K33" s="92" t="s">
        <v>253</v>
      </c>
    </row>
    <row r="34" spans="2:11" ht="20.25" customHeight="1" x14ac:dyDescent="0.3">
      <c r="B34" s="238" t="s">
        <v>25</v>
      </c>
      <c r="C34" s="239"/>
      <c r="D34" s="240"/>
      <c r="J34" s="283" t="s">
        <v>254</v>
      </c>
      <c r="K34" s="283" t="s">
        <v>254</v>
      </c>
    </row>
    <row r="35" spans="2:11" x14ac:dyDescent="0.25">
      <c r="B35" s="241" t="s">
        <v>55</v>
      </c>
      <c r="C35" s="241"/>
      <c r="D35" s="241"/>
      <c r="J35" s="284"/>
      <c r="K35" s="284"/>
    </row>
    <row r="36" spans="2:11" x14ac:dyDescent="0.25">
      <c r="B36" s="241" t="s">
        <v>270</v>
      </c>
      <c r="C36" s="241"/>
      <c r="D36" s="241"/>
      <c r="J36" s="284"/>
      <c r="K36" s="284"/>
    </row>
    <row r="37" spans="2:11" x14ac:dyDescent="0.25">
      <c r="B37" s="274" t="s">
        <v>215</v>
      </c>
      <c r="C37" s="274"/>
      <c r="D37" s="274"/>
      <c r="J37" s="284"/>
      <c r="K37" s="284"/>
    </row>
    <row r="38" spans="2:11" ht="20.25" x14ac:dyDescent="0.25">
      <c r="B38" s="241"/>
      <c r="C38" s="241"/>
      <c r="D38" s="241"/>
      <c r="G38" s="112"/>
      <c r="J38" s="284"/>
      <c r="K38" s="284"/>
    </row>
    <row r="39" spans="2:11" ht="20.25" x14ac:dyDescent="0.25">
      <c r="B39" s="241"/>
      <c r="C39" s="241"/>
      <c r="D39" s="241"/>
      <c r="G39" s="112"/>
      <c r="J39" s="284"/>
      <c r="K39" s="284"/>
    </row>
    <row r="40" spans="2:11" ht="20.25" x14ac:dyDescent="0.25">
      <c r="B40" s="241"/>
      <c r="C40" s="241"/>
      <c r="D40" s="241"/>
      <c r="G40" s="112"/>
      <c r="J40" s="284"/>
      <c r="K40" s="284"/>
    </row>
    <row r="41" spans="2:11" ht="20.25" x14ac:dyDescent="0.25">
      <c r="G41" s="112"/>
      <c r="J41" s="284"/>
      <c r="K41" s="284"/>
    </row>
    <row r="42" spans="2:11" ht="20.25" thickBot="1" x14ac:dyDescent="0.3">
      <c r="B42" s="202"/>
      <c r="C42" s="202"/>
      <c r="D42" s="202"/>
      <c r="J42" s="285"/>
      <c r="K42" s="285"/>
    </row>
    <row r="43" spans="2:11" x14ac:dyDescent="0.25">
      <c r="B43" s="202"/>
      <c r="C43" s="202"/>
      <c r="D43" s="202"/>
    </row>
    <row r="44" spans="2:11" x14ac:dyDescent="0.25">
      <c r="B44" s="202"/>
      <c r="C44" s="202"/>
      <c r="D44" s="202"/>
    </row>
    <row r="45" spans="2:11" x14ac:dyDescent="0.25">
      <c r="B45" s="202"/>
      <c r="C45" s="202"/>
      <c r="D45" s="202"/>
    </row>
    <row r="46" spans="2:11" x14ac:dyDescent="0.25">
      <c r="B46" s="202"/>
      <c r="C46" s="202"/>
      <c r="D46" s="202"/>
    </row>
    <row r="47" spans="2:11" x14ac:dyDescent="0.25">
      <c r="B47" s="202"/>
      <c r="C47" s="202"/>
      <c r="D47" s="202"/>
    </row>
    <row r="48" spans="2:11"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9">
    <mergeCell ref="B2:D2"/>
    <mergeCell ref="B4:D4"/>
    <mergeCell ref="B35:D35"/>
    <mergeCell ref="B36:D36"/>
    <mergeCell ref="B21:C21"/>
    <mergeCell ref="B34:D34"/>
    <mergeCell ref="B23:C23"/>
    <mergeCell ref="B24:C24"/>
    <mergeCell ref="B25:C25"/>
    <mergeCell ref="B26:C26"/>
    <mergeCell ref="B7:C7"/>
    <mergeCell ref="B8:C8"/>
    <mergeCell ref="B22:C22"/>
    <mergeCell ref="J34:J42"/>
    <mergeCell ref="K34:K42"/>
    <mergeCell ref="B50:D50"/>
    <mergeCell ref="B38:D38"/>
    <mergeCell ref="B44:D44"/>
    <mergeCell ref="B39:D39"/>
    <mergeCell ref="B45:D45"/>
    <mergeCell ref="B40:D40"/>
    <mergeCell ref="B37:D37"/>
    <mergeCell ref="B42:D42"/>
    <mergeCell ref="B43:D43"/>
    <mergeCell ref="B51:D51"/>
    <mergeCell ref="B46:D46"/>
    <mergeCell ref="B47:D47"/>
    <mergeCell ref="B48:D48"/>
    <mergeCell ref="B49:D49"/>
  </mergeCells>
  <phoneticPr fontId="17" type="noConversion"/>
  <pageMargins left="0.78740157480314965" right="0.78740157480314965" top="0" bottom="0" header="0" footer="0"/>
  <pageSetup paperSize="9" scale="57" orientation="landscape" r:id="rId1"/>
  <headerFooter alignWithMargins="0">
    <oddHeader>&amp;L&amp;"Tahoma,Negrita"&amp;12   &amp;G
&amp;R&amp;"Tahoma,Negrita"&amp;12
Tren de Alambrón
Gijón</oddHeader>
  </headerFooter>
  <drawing r:id="rId2"/>
  <legacyDrawingHF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25">
    <pageSetUpPr fitToPage="1"/>
  </sheetPr>
  <dimension ref="A1:I51"/>
  <sheetViews>
    <sheetView zoomScale="40" zoomScaleNormal="40" workbookViewId="0">
      <selection activeCell="B42" sqref="B42:D42"/>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5.7109375" style="1" customWidth="1"/>
    <col min="7" max="7" width="28" style="1" customWidth="1"/>
    <col min="8" max="9" width="16.42578125" style="1" customWidth="1"/>
    <col min="10" max="16384" width="11.42578125" style="1"/>
  </cols>
  <sheetData>
    <row r="1" spans="2:9" ht="20.25" thickBot="1" x14ac:dyDescent="0.3"/>
    <row r="2" spans="2:9" ht="27.75" thickBot="1" x14ac:dyDescent="0.4">
      <c r="B2" s="211" t="s">
        <v>311</v>
      </c>
      <c r="C2" s="212"/>
      <c r="D2" s="213"/>
    </row>
    <row r="4" spans="2:9" x14ac:dyDescent="0.25">
      <c r="B4" s="214" t="s">
        <v>30</v>
      </c>
      <c r="C4" s="214"/>
      <c r="D4" s="214"/>
    </row>
    <row r="5" spans="2:9" ht="20.25" thickBot="1" x14ac:dyDescent="0.3"/>
    <row r="6" spans="2:9" ht="20.25" thickBot="1" x14ac:dyDescent="0.3">
      <c r="B6" s="2" t="s">
        <v>3</v>
      </c>
      <c r="C6" s="3"/>
      <c r="D6" s="4" t="s">
        <v>16</v>
      </c>
      <c r="F6" s="289">
        <v>40381</v>
      </c>
      <c r="G6" s="290"/>
    </row>
    <row r="7" spans="2:9" ht="26.1" customHeight="1" thickBot="1" x14ac:dyDescent="0.3">
      <c r="B7" s="227" t="s">
        <v>1</v>
      </c>
      <c r="C7" s="228"/>
      <c r="D7" s="20" t="s">
        <v>230</v>
      </c>
      <c r="F7" s="61" t="s">
        <v>20</v>
      </c>
      <c r="G7" s="70" t="s">
        <v>15</v>
      </c>
    </row>
    <row r="8" spans="2:9" ht="26.1" customHeight="1" thickBot="1" x14ac:dyDescent="0.3">
      <c r="B8" s="227" t="s">
        <v>2</v>
      </c>
      <c r="C8" s="228"/>
      <c r="D8" s="20">
        <v>340</v>
      </c>
      <c r="F8" s="48" t="s">
        <v>21</v>
      </c>
      <c r="G8" s="54">
        <v>1.56</v>
      </c>
    </row>
    <row r="9" spans="2:9" ht="20.25" thickBot="1" x14ac:dyDescent="0.3">
      <c r="D9" s="6"/>
      <c r="F9" s="49" t="s">
        <v>22</v>
      </c>
      <c r="G9" s="53">
        <v>1.37</v>
      </c>
    </row>
    <row r="10" spans="2:9" ht="20.25" thickBot="1" x14ac:dyDescent="0.3">
      <c r="B10" s="7" t="s">
        <v>4</v>
      </c>
      <c r="C10" s="8" t="s">
        <v>15</v>
      </c>
      <c r="D10" s="9" t="s">
        <v>16</v>
      </c>
      <c r="F10" s="49" t="s">
        <v>23</v>
      </c>
      <c r="G10" s="53">
        <v>1.63</v>
      </c>
    </row>
    <row r="11" spans="2:9" ht="26.1" customHeight="1" x14ac:dyDescent="0.25">
      <c r="B11" s="15" t="s">
        <v>5</v>
      </c>
      <c r="C11" s="10">
        <v>3.65</v>
      </c>
      <c r="D11" s="11"/>
      <c r="F11" s="49" t="s">
        <v>24</v>
      </c>
      <c r="G11" s="53">
        <v>1.25</v>
      </c>
    </row>
    <row r="12" spans="2:9" ht="26.1" customHeight="1" thickBot="1" x14ac:dyDescent="0.3">
      <c r="B12" s="15" t="s">
        <v>6</v>
      </c>
      <c r="C12" s="10">
        <v>3.4</v>
      </c>
      <c r="D12" s="11"/>
      <c r="F12" s="71" t="s">
        <v>255</v>
      </c>
      <c r="G12" s="72"/>
    </row>
    <row r="13" spans="2:9" ht="26.1" customHeight="1" x14ac:dyDescent="0.25">
      <c r="B13" s="15" t="s">
        <v>7</v>
      </c>
      <c r="C13" s="10">
        <v>3.48</v>
      </c>
      <c r="D13" s="11"/>
    </row>
    <row r="14" spans="2:9" ht="26.1" customHeight="1" x14ac:dyDescent="0.25">
      <c r="B14" s="15" t="s">
        <v>8</v>
      </c>
      <c r="C14" s="10">
        <v>2.2000000000000002</v>
      </c>
      <c r="D14" s="11"/>
    </row>
    <row r="15" spans="2:9" ht="26.1" customHeight="1" thickBot="1" x14ac:dyDescent="0.3">
      <c r="B15" s="15" t="s">
        <v>9</v>
      </c>
      <c r="C15" s="10">
        <v>2.2200000000000002</v>
      </c>
      <c r="D15" s="11"/>
    </row>
    <row r="16" spans="2:9" ht="26.1" customHeight="1" x14ac:dyDescent="0.25">
      <c r="B16" s="15" t="s">
        <v>10</v>
      </c>
      <c r="C16" s="10">
        <v>1.96</v>
      </c>
      <c r="D16" s="11"/>
      <c r="H16" s="289" t="s">
        <v>256</v>
      </c>
      <c r="I16" s="290"/>
    </row>
    <row r="17" spans="1:9" ht="26.1" customHeight="1" thickBot="1" x14ac:dyDescent="0.3">
      <c r="B17" s="15" t="s">
        <v>11</v>
      </c>
      <c r="C17" s="10">
        <v>1.5</v>
      </c>
      <c r="D17" s="11"/>
      <c r="H17" s="61" t="s">
        <v>20</v>
      </c>
      <c r="I17" s="70" t="s">
        <v>15</v>
      </c>
    </row>
    <row r="18" spans="1:9" ht="26.1" customHeight="1" x14ac:dyDescent="0.25">
      <c r="B18" s="15" t="s">
        <v>12</v>
      </c>
      <c r="C18" s="10">
        <v>1.5</v>
      </c>
      <c r="D18" s="11"/>
      <c r="H18" s="48" t="s">
        <v>21</v>
      </c>
      <c r="I18" s="54" t="s">
        <v>221</v>
      </c>
    </row>
    <row r="19" spans="1:9" ht="26.1" customHeight="1" x14ac:dyDescent="0.25">
      <c r="B19" s="15" t="s">
        <v>13</v>
      </c>
      <c r="C19" s="10"/>
      <c r="D19" s="11"/>
      <c r="H19" s="49" t="s">
        <v>22</v>
      </c>
      <c r="I19" s="53">
        <v>1.45</v>
      </c>
    </row>
    <row r="20" spans="1:9" ht="26.1" customHeight="1" thickBot="1" x14ac:dyDescent="0.3">
      <c r="B20" s="15" t="s">
        <v>14</v>
      </c>
      <c r="C20" s="10"/>
      <c r="D20" s="11"/>
      <c r="H20" s="49" t="s">
        <v>23</v>
      </c>
      <c r="I20" s="53">
        <v>1.45</v>
      </c>
    </row>
    <row r="21" spans="1:9" ht="21" thickBot="1" x14ac:dyDescent="0.35">
      <c r="B21" s="242" t="s">
        <v>29</v>
      </c>
      <c r="C21" s="243"/>
      <c r="D21" s="9" t="s">
        <v>16</v>
      </c>
      <c r="H21" s="49" t="s">
        <v>24</v>
      </c>
      <c r="I21" s="53">
        <v>1.25</v>
      </c>
    </row>
    <row r="22" spans="1:9" ht="26.1" customHeight="1" thickBot="1" x14ac:dyDescent="0.3">
      <c r="B22" s="230" t="s">
        <v>17</v>
      </c>
      <c r="C22" s="230"/>
      <c r="D22" s="10" t="s">
        <v>292</v>
      </c>
      <c r="H22" s="71"/>
      <c r="I22" s="72"/>
    </row>
    <row r="23" spans="1:9" ht="26.1" customHeight="1" x14ac:dyDescent="0.25">
      <c r="B23" s="216" t="s">
        <v>28</v>
      </c>
      <c r="C23" s="216"/>
      <c r="D23" s="10" t="s">
        <v>231</v>
      </c>
    </row>
    <row r="24" spans="1:9" x14ac:dyDescent="0.25">
      <c r="B24" s="216"/>
      <c r="C24" s="216"/>
      <c r="D24" s="5"/>
      <c r="H24" s="58"/>
      <c r="I24" s="59"/>
    </row>
    <row r="25" spans="1:9" ht="26.1" customHeight="1" x14ac:dyDescent="0.25">
      <c r="B25" s="216" t="s">
        <v>18</v>
      </c>
      <c r="C25" s="216"/>
      <c r="D25" s="10" t="s">
        <v>48</v>
      </c>
      <c r="H25" s="60"/>
      <c r="I25" s="29"/>
    </row>
    <row r="26" spans="1:9" ht="26.1" customHeight="1" x14ac:dyDescent="0.25">
      <c r="B26" s="216" t="s">
        <v>19</v>
      </c>
      <c r="C26" s="216"/>
      <c r="D26" s="13">
        <v>0.03</v>
      </c>
      <c r="H26" s="60"/>
      <c r="I26" s="29"/>
    </row>
    <row r="27" spans="1:9" ht="20.25" thickBot="1" x14ac:dyDescent="0.3">
      <c r="A27" s="1" t="s">
        <v>438</v>
      </c>
      <c r="D27" s="29"/>
      <c r="H27" s="60"/>
      <c r="I27" s="29"/>
    </row>
    <row r="28" spans="1:9" ht="20.25" thickBot="1" x14ac:dyDescent="0.3">
      <c r="B28" s="7" t="s">
        <v>20</v>
      </c>
      <c r="C28" s="14" t="s">
        <v>15</v>
      </c>
      <c r="D28" s="9" t="s">
        <v>16</v>
      </c>
      <c r="F28" s="68" t="s">
        <v>224</v>
      </c>
      <c r="G28" s="69"/>
      <c r="H28" s="286" t="s">
        <v>234</v>
      </c>
      <c r="I28" s="287"/>
    </row>
    <row r="29" spans="1:9" ht="26.1" customHeight="1" thickBot="1" x14ac:dyDescent="0.3">
      <c r="B29" s="16" t="s">
        <v>21</v>
      </c>
      <c r="C29" s="10">
        <v>1.45</v>
      </c>
      <c r="D29" s="11"/>
      <c r="F29" s="61" t="s">
        <v>20</v>
      </c>
      <c r="G29" s="70" t="s">
        <v>15</v>
      </c>
      <c r="H29" s="64" t="s">
        <v>232</v>
      </c>
      <c r="I29" s="65" t="s">
        <v>233</v>
      </c>
    </row>
    <row r="30" spans="1:9" ht="26.1" customHeight="1" x14ac:dyDescent="0.25">
      <c r="B30" s="17" t="s">
        <v>22</v>
      </c>
      <c r="C30" s="5">
        <v>1.4</v>
      </c>
      <c r="D30" s="12"/>
      <c r="F30" s="48" t="s">
        <v>21</v>
      </c>
      <c r="G30" s="54">
        <v>1.45</v>
      </c>
      <c r="H30" s="64">
        <v>1.5</v>
      </c>
      <c r="I30" s="65">
        <v>1.6</v>
      </c>
    </row>
    <row r="31" spans="1:9" ht="26.1" customHeight="1" x14ac:dyDescent="0.25">
      <c r="B31" s="17" t="s">
        <v>23</v>
      </c>
      <c r="C31" s="5">
        <v>1.5</v>
      </c>
      <c r="D31" s="12"/>
      <c r="F31" s="49" t="s">
        <v>22</v>
      </c>
      <c r="G31" s="53">
        <v>1.35</v>
      </c>
      <c r="H31" s="64">
        <v>1.4</v>
      </c>
      <c r="I31" s="65">
        <v>1.4</v>
      </c>
    </row>
    <row r="32" spans="1:9" ht="26.1" customHeight="1" x14ac:dyDescent="0.25">
      <c r="B32" s="17" t="s">
        <v>24</v>
      </c>
      <c r="C32" s="5">
        <v>1.26</v>
      </c>
      <c r="D32" s="12" t="s">
        <v>266</v>
      </c>
      <c r="F32" s="49" t="s">
        <v>23</v>
      </c>
      <c r="G32" s="53">
        <v>1.4</v>
      </c>
      <c r="H32" s="64">
        <v>1.49</v>
      </c>
      <c r="I32" s="65">
        <v>1.47</v>
      </c>
    </row>
    <row r="33" spans="2:9" ht="20.25" thickBot="1" x14ac:dyDescent="0.3">
      <c r="F33" s="49" t="s">
        <v>24</v>
      </c>
      <c r="G33" s="53">
        <v>1.22</v>
      </c>
      <c r="H33" s="64">
        <v>1.0900000000000001</v>
      </c>
      <c r="I33" s="65">
        <v>1.28</v>
      </c>
    </row>
    <row r="34" spans="2:9" ht="21" thickBot="1" x14ac:dyDescent="0.35">
      <c r="B34" s="238" t="s">
        <v>25</v>
      </c>
      <c r="C34" s="239"/>
      <c r="D34" s="240"/>
      <c r="F34" s="71" t="s">
        <v>229</v>
      </c>
      <c r="G34" s="72"/>
      <c r="H34" s="66" t="s">
        <v>235</v>
      </c>
      <c r="I34" s="67" t="s">
        <v>236</v>
      </c>
    </row>
    <row r="35" spans="2:9" ht="20.25" thickBot="1" x14ac:dyDescent="0.3">
      <c r="B35" s="288" t="s">
        <v>49</v>
      </c>
      <c r="C35" s="288"/>
      <c r="D35" s="288"/>
    </row>
    <row r="36" spans="2:9" ht="20.25" thickBot="1" x14ac:dyDescent="0.3">
      <c r="B36" s="288" t="s">
        <v>50</v>
      </c>
      <c r="C36" s="288"/>
      <c r="D36" s="288"/>
      <c r="F36" s="98" t="s">
        <v>257</v>
      </c>
      <c r="G36" s="99"/>
      <c r="H36" s="100" t="s">
        <v>259</v>
      </c>
      <c r="I36" s="97"/>
    </row>
    <row r="37" spans="2:9" ht="20.25" thickBot="1" x14ac:dyDescent="0.3">
      <c r="B37" s="288" t="s">
        <v>166</v>
      </c>
      <c r="C37" s="288"/>
      <c r="D37" s="288"/>
      <c r="F37" s="101" t="s">
        <v>20</v>
      </c>
      <c r="G37" s="108" t="s">
        <v>232</v>
      </c>
      <c r="H37" s="104" t="s">
        <v>233</v>
      </c>
    </row>
    <row r="38" spans="2:9" x14ac:dyDescent="0.25">
      <c r="B38" s="288" t="s">
        <v>51</v>
      </c>
      <c r="C38" s="288"/>
      <c r="D38" s="288"/>
      <c r="F38" s="102" t="s">
        <v>21</v>
      </c>
      <c r="G38" s="109">
        <v>1.5</v>
      </c>
      <c r="H38" s="105">
        <v>1.4</v>
      </c>
    </row>
    <row r="39" spans="2:9" x14ac:dyDescent="0.25">
      <c r="B39" s="288" t="s">
        <v>52</v>
      </c>
      <c r="C39" s="288"/>
      <c r="D39" s="288"/>
      <c r="F39" s="103" t="s">
        <v>22</v>
      </c>
      <c r="G39" s="110">
        <v>1.4</v>
      </c>
      <c r="H39" s="106">
        <v>1.39</v>
      </c>
    </row>
    <row r="40" spans="2:9" x14ac:dyDescent="0.25">
      <c r="B40" s="288"/>
      <c r="C40" s="288"/>
      <c r="D40" s="288"/>
      <c r="F40" s="103" t="s">
        <v>23</v>
      </c>
      <c r="G40" s="110">
        <v>1.39</v>
      </c>
      <c r="H40" s="106">
        <v>1.42</v>
      </c>
    </row>
    <row r="41" spans="2:9" x14ac:dyDescent="0.25">
      <c r="F41" s="103" t="s">
        <v>24</v>
      </c>
      <c r="G41" s="110">
        <v>1.22</v>
      </c>
      <c r="H41" s="106">
        <v>1.18</v>
      </c>
    </row>
    <row r="42" spans="2:9" x14ac:dyDescent="0.25">
      <c r="B42" s="202"/>
      <c r="C42" s="202"/>
      <c r="D42" s="202"/>
      <c r="F42" s="110"/>
      <c r="G42" s="110"/>
      <c r="H42" s="106"/>
    </row>
    <row r="43" spans="2:9" x14ac:dyDescent="0.25">
      <c r="B43" s="202"/>
      <c r="C43" s="202"/>
      <c r="D43" s="202"/>
      <c r="F43" s="110" t="s">
        <v>263</v>
      </c>
      <c r="G43" s="110">
        <v>62.5</v>
      </c>
      <c r="H43" s="106">
        <v>62.93</v>
      </c>
    </row>
    <row r="44" spans="2:9" x14ac:dyDescent="0.25">
      <c r="B44" s="202"/>
      <c r="C44" s="202"/>
      <c r="D44" s="202"/>
      <c r="F44" s="110" t="s">
        <v>264</v>
      </c>
      <c r="G44" s="110">
        <v>0.95499999999999996</v>
      </c>
      <c r="H44" s="106">
        <v>0.96</v>
      </c>
    </row>
    <row r="45" spans="2:9" ht="20.25" thickBot="1" x14ac:dyDescent="0.3">
      <c r="B45" s="202"/>
      <c r="C45" s="202"/>
      <c r="D45" s="202"/>
      <c r="F45" s="111" t="s">
        <v>258</v>
      </c>
      <c r="G45" s="111">
        <v>0.2</v>
      </c>
      <c r="H45" s="107">
        <v>0.25</v>
      </c>
    </row>
    <row r="46" spans="2:9" x14ac:dyDescent="0.25">
      <c r="B46" s="202"/>
      <c r="C46" s="202"/>
      <c r="D46" s="202"/>
    </row>
    <row r="47" spans="2:9" x14ac:dyDescent="0.25">
      <c r="B47" s="202"/>
      <c r="C47" s="202"/>
      <c r="D47" s="202"/>
      <c r="F47" s="1" t="s">
        <v>260</v>
      </c>
    </row>
    <row r="48" spans="2:9" x14ac:dyDescent="0.25">
      <c r="B48" s="202"/>
      <c r="C48" s="202"/>
      <c r="D48" s="202"/>
      <c r="F48" s="1" t="s">
        <v>261</v>
      </c>
    </row>
    <row r="49" spans="2:6" x14ac:dyDescent="0.25">
      <c r="B49" s="202"/>
      <c r="C49" s="202"/>
      <c r="D49" s="202"/>
      <c r="F49" s="1" t="s">
        <v>262</v>
      </c>
    </row>
    <row r="50" spans="2:6" x14ac:dyDescent="0.25">
      <c r="B50" s="202"/>
      <c r="C50" s="202"/>
      <c r="D50" s="202"/>
      <c r="F50" s="1" t="s">
        <v>265</v>
      </c>
    </row>
    <row r="51" spans="2:6" x14ac:dyDescent="0.25">
      <c r="B51" s="202"/>
      <c r="C51" s="202"/>
      <c r="D51" s="202"/>
    </row>
  </sheetData>
  <mergeCells count="30">
    <mergeCell ref="F6:G6"/>
    <mergeCell ref="B7:C7"/>
    <mergeCell ref="B8:C8"/>
    <mergeCell ref="B34:D34"/>
    <mergeCell ref="B22:C22"/>
    <mergeCell ref="B40:D40"/>
    <mergeCell ref="B2:D2"/>
    <mergeCell ref="B4:D4"/>
    <mergeCell ref="B35:D35"/>
    <mergeCell ref="B36:D36"/>
    <mergeCell ref="B21:C21"/>
    <mergeCell ref="B39:D39"/>
    <mergeCell ref="B23:C23"/>
    <mergeCell ref="B24:C24"/>
    <mergeCell ref="B25:C25"/>
    <mergeCell ref="H28:I28"/>
    <mergeCell ref="B37:D37"/>
    <mergeCell ref="B38:D38"/>
    <mergeCell ref="H16:I16"/>
    <mergeCell ref="B26:C26"/>
    <mergeCell ref="B51:D51"/>
    <mergeCell ref="B46:D46"/>
    <mergeCell ref="B47:D47"/>
    <mergeCell ref="B48:D48"/>
    <mergeCell ref="B49:D49"/>
    <mergeCell ref="B42:D42"/>
    <mergeCell ref="B43:D43"/>
    <mergeCell ref="B44:D44"/>
    <mergeCell ref="B45:D45"/>
    <mergeCell ref="B50:D50"/>
  </mergeCells>
  <phoneticPr fontId="17" type="noConversion"/>
  <pageMargins left="0.75" right="0.75" top="1" bottom="1" header="0" footer="0"/>
  <pageSetup paperSize="9" scale="51" orientation="portrait" r:id="rId1"/>
  <headerFooter alignWithMargins="0">
    <oddHeader>&amp;L&amp;"Tahoma,Negrita"&amp;12   &amp;G
&amp;R&amp;"Tahoma,Negrita"&amp;12
Tren de Alambrón
Gijón</oddHeader>
  </headerFooter>
  <drawing r:id="rId2"/>
  <legacyDrawingHF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26">
    <pageSetUpPr fitToPage="1"/>
  </sheetPr>
  <dimension ref="A1:L51"/>
  <sheetViews>
    <sheetView view="pageBreakPreview" zoomScale="40" zoomScaleNormal="100" zoomScaleSheetLayoutView="40" workbookViewId="0">
      <selection activeCell="D22" sqref="D22"/>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5.7109375" style="1" customWidth="1"/>
    <col min="7" max="7" width="28" style="1" customWidth="1"/>
    <col min="8" max="8" width="20.42578125" style="1" customWidth="1"/>
    <col min="9" max="9" width="16.42578125" style="1" customWidth="1"/>
    <col min="10" max="16384" width="11.42578125" style="1"/>
  </cols>
  <sheetData>
    <row r="1" spans="2:7" ht="20.25" thickBot="1" x14ac:dyDescent="0.3"/>
    <row r="2" spans="2:7" ht="27.75" thickBot="1" x14ac:dyDescent="0.4">
      <c r="B2" s="211" t="s">
        <v>47</v>
      </c>
      <c r="C2" s="212"/>
      <c r="D2" s="213"/>
    </row>
    <row r="4" spans="2:7" x14ac:dyDescent="0.25">
      <c r="B4" s="214" t="s">
        <v>30</v>
      </c>
      <c r="C4" s="214"/>
      <c r="D4" s="214"/>
    </row>
    <row r="5" spans="2:7" ht="20.25" thickBot="1" x14ac:dyDescent="0.3"/>
    <row r="6" spans="2:7" ht="20.25" thickBot="1" x14ac:dyDescent="0.3">
      <c r="B6" s="2" t="s">
        <v>3</v>
      </c>
      <c r="C6" s="3"/>
      <c r="D6" s="4" t="s">
        <v>16</v>
      </c>
      <c r="F6" s="291"/>
      <c r="G6" s="291"/>
    </row>
    <row r="7" spans="2:7" ht="26.1" customHeight="1" thickBot="1" x14ac:dyDescent="0.3">
      <c r="B7" s="227" t="s">
        <v>1</v>
      </c>
      <c r="C7" s="228"/>
      <c r="D7" s="20" t="s">
        <v>230</v>
      </c>
      <c r="F7" s="60"/>
      <c r="G7" s="6"/>
    </row>
    <row r="8" spans="2:7" ht="26.1" customHeight="1" thickBot="1" x14ac:dyDescent="0.3">
      <c r="B8" s="227" t="s">
        <v>2</v>
      </c>
      <c r="C8" s="228"/>
      <c r="D8" s="20">
        <v>340</v>
      </c>
      <c r="F8" s="60"/>
      <c r="G8" s="29"/>
    </row>
    <row r="9" spans="2:7" ht="20.25" thickBot="1" x14ac:dyDescent="0.3">
      <c r="D9" s="6"/>
      <c r="F9" s="60"/>
      <c r="G9" s="29"/>
    </row>
    <row r="10" spans="2:7" ht="20.25" thickBot="1" x14ac:dyDescent="0.3">
      <c r="B10" s="7" t="s">
        <v>4</v>
      </c>
      <c r="C10" s="8" t="s">
        <v>15</v>
      </c>
      <c r="D10" s="9" t="s">
        <v>16</v>
      </c>
      <c r="F10" s="60"/>
      <c r="G10" s="29"/>
    </row>
    <row r="11" spans="2:7" ht="26.1" customHeight="1" x14ac:dyDescent="0.25">
      <c r="B11" s="15" t="s">
        <v>5</v>
      </c>
      <c r="C11" s="10">
        <v>3.65</v>
      </c>
      <c r="D11" s="11"/>
      <c r="F11" s="60"/>
      <c r="G11" s="29"/>
    </row>
    <row r="12" spans="2:7" ht="26.1" customHeight="1" x14ac:dyDescent="0.25">
      <c r="B12" s="15" t="s">
        <v>6</v>
      </c>
      <c r="C12" s="10">
        <v>3.4</v>
      </c>
      <c r="D12" s="11"/>
    </row>
    <row r="13" spans="2:7" ht="26.1" customHeight="1" x14ac:dyDescent="0.25">
      <c r="B13" s="15" t="s">
        <v>7</v>
      </c>
      <c r="C13" s="10">
        <v>3.48</v>
      </c>
      <c r="D13" s="11"/>
    </row>
    <row r="14" spans="2:7" ht="26.1" customHeight="1" x14ac:dyDescent="0.25">
      <c r="B14" s="15" t="s">
        <v>8</v>
      </c>
      <c r="C14" s="10">
        <v>2.2000000000000002</v>
      </c>
      <c r="D14" s="11"/>
    </row>
    <row r="15" spans="2:7" ht="26.1" customHeight="1" x14ac:dyDescent="0.25">
      <c r="B15" s="15" t="s">
        <v>9</v>
      </c>
      <c r="C15" s="10">
        <v>2.2200000000000002</v>
      </c>
      <c r="D15" s="11"/>
    </row>
    <row r="16" spans="2:7" ht="26.1" customHeight="1" x14ac:dyDescent="0.25">
      <c r="B16" s="15" t="s">
        <v>10</v>
      </c>
      <c r="C16" s="10">
        <v>1.96</v>
      </c>
      <c r="D16" s="11"/>
    </row>
    <row r="17" spans="1:12" ht="26.1" customHeight="1" x14ac:dyDescent="0.25">
      <c r="B17" s="15" t="s">
        <v>11</v>
      </c>
      <c r="C17" s="10">
        <v>1.3</v>
      </c>
      <c r="D17" s="11"/>
      <c r="F17" s="291"/>
      <c r="G17" s="291"/>
    </row>
    <row r="18" spans="1:12" ht="26.1" customHeight="1" x14ac:dyDescent="0.25">
      <c r="B18" s="15" t="s">
        <v>12</v>
      </c>
      <c r="C18" s="10">
        <v>1.5</v>
      </c>
      <c r="D18" s="11"/>
      <c r="F18" s="60"/>
      <c r="G18" s="6"/>
    </row>
    <row r="19" spans="1:12" ht="26.1" customHeight="1" x14ac:dyDescent="0.25">
      <c r="B19" s="15" t="s">
        <v>13</v>
      </c>
      <c r="C19" s="10"/>
      <c r="D19" s="11"/>
      <c r="F19" s="60"/>
      <c r="G19" s="29"/>
    </row>
    <row r="20" spans="1:12" ht="26.1" customHeight="1" thickBot="1" x14ac:dyDescent="0.3">
      <c r="B20" s="15" t="s">
        <v>14</v>
      </c>
      <c r="C20" s="10"/>
      <c r="D20" s="11"/>
      <c r="F20" s="60"/>
      <c r="G20" s="29"/>
    </row>
    <row r="21" spans="1:12" ht="21" thickBot="1" x14ac:dyDescent="0.35">
      <c r="B21" s="242" t="s">
        <v>29</v>
      </c>
      <c r="C21" s="243"/>
      <c r="D21" s="9" t="s">
        <v>16</v>
      </c>
      <c r="F21" s="60"/>
      <c r="G21" s="29"/>
    </row>
    <row r="22" spans="1:12" ht="26.1" customHeight="1" x14ac:dyDescent="0.25">
      <c r="B22" s="230" t="s">
        <v>17</v>
      </c>
      <c r="C22" s="230"/>
      <c r="D22" s="10" t="s">
        <v>292</v>
      </c>
      <c r="F22" s="60"/>
      <c r="G22" s="29"/>
    </row>
    <row r="23" spans="1:12" ht="26.1" customHeight="1" x14ac:dyDescent="0.25">
      <c r="B23" s="216" t="s">
        <v>28</v>
      </c>
      <c r="C23" s="216"/>
      <c r="D23" s="10" t="s">
        <v>231</v>
      </c>
    </row>
    <row r="24" spans="1:12" x14ac:dyDescent="0.25">
      <c r="B24" s="216"/>
      <c r="C24" s="216"/>
      <c r="D24" s="5"/>
      <c r="K24" s="292"/>
      <c r="L24" s="292"/>
    </row>
    <row r="25" spans="1:12" ht="26.1" customHeight="1" x14ac:dyDescent="0.25">
      <c r="B25" s="216" t="s">
        <v>18</v>
      </c>
      <c r="C25" s="216"/>
      <c r="D25" s="10" t="s">
        <v>302</v>
      </c>
      <c r="F25" s="60"/>
      <c r="G25" s="6"/>
      <c r="H25" s="60"/>
      <c r="I25" s="29"/>
      <c r="K25" s="6"/>
      <c r="L25" s="6"/>
    </row>
    <row r="26" spans="1:12" ht="26.1" customHeight="1" x14ac:dyDescent="0.25">
      <c r="B26" s="216" t="s">
        <v>19</v>
      </c>
      <c r="C26" s="216"/>
      <c r="D26" s="13">
        <v>0.03</v>
      </c>
      <c r="H26" s="60"/>
      <c r="I26" s="29"/>
      <c r="K26" s="6"/>
      <c r="L26" s="6"/>
    </row>
    <row r="27" spans="1:12" ht="20.25" thickBot="1" x14ac:dyDescent="0.3">
      <c r="D27" s="29"/>
      <c r="H27" s="60"/>
      <c r="I27" s="29"/>
      <c r="K27" s="6"/>
      <c r="L27" s="6"/>
    </row>
    <row r="28" spans="1:12" ht="20.25" thickBot="1" x14ac:dyDescent="0.3">
      <c r="A28" s="1">
        <v>7</v>
      </c>
      <c r="B28" s="7" t="s">
        <v>20</v>
      </c>
      <c r="C28" s="14" t="s">
        <v>15</v>
      </c>
      <c r="D28" s="9" t="s">
        <v>16</v>
      </c>
      <c r="F28" s="76"/>
      <c r="G28" s="57"/>
      <c r="K28" s="6"/>
      <c r="L28" s="6"/>
    </row>
    <row r="29" spans="1:12" ht="26.1" customHeight="1" x14ac:dyDescent="0.25">
      <c r="B29" s="16" t="s">
        <v>21</v>
      </c>
      <c r="C29" s="10">
        <v>1.5</v>
      </c>
      <c r="D29" s="11"/>
      <c r="F29" s="60"/>
      <c r="G29" s="6"/>
      <c r="K29" s="6"/>
      <c r="L29" s="6"/>
    </row>
    <row r="30" spans="1:12" ht="26.1" customHeight="1" x14ac:dyDescent="0.25">
      <c r="B30" s="17" t="s">
        <v>22</v>
      </c>
      <c r="C30" s="5">
        <v>1.4</v>
      </c>
      <c r="D30" s="12"/>
      <c r="F30" s="60"/>
      <c r="G30" s="29"/>
      <c r="K30" s="6"/>
      <c r="L30" s="6"/>
    </row>
    <row r="31" spans="1:12" ht="26.1" customHeight="1" x14ac:dyDescent="0.25">
      <c r="B31" s="17" t="s">
        <v>23</v>
      </c>
      <c r="C31" s="5">
        <v>1.5</v>
      </c>
      <c r="D31" s="12"/>
      <c r="F31" s="60"/>
      <c r="G31" s="29"/>
    </row>
    <row r="32" spans="1:12" ht="26.1" customHeight="1" x14ac:dyDescent="0.25">
      <c r="B32" s="17" t="s">
        <v>24</v>
      </c>
      <c r="C32" s="5">
        <v>1.24</v>
      </c>
      <c r="D32" s="12"/>
      <c r="F32" s="117" t="s">
        <v>310</v>
      </c>
      <c r="G32" s="29"/>
    </row>
    <row r="33" spans="2:7" ht="20.25" thickBot="1" x14ac:dyDescent="0.3">
      <c r="F33" s="60"/>
      <c r="G33" s="29"/>
    </row>
    <row r="34" spans="2:7" ht="20.25" x14ac:dyDescent="0.3">
      <c r="B34" s="238" t="s">
        <v>25</v>
      </c>
      <c r="C34" s="239"/>
      <c r="D34" s="240"/>
    </row>
    <row r="35" spans="2:7" x14ac:dyDescent="0.25">
      <c r="B35" s="288" t="s">
        <v>49</v>
      </c>
      <c r="C35" s="288"/>
      <c r="D35" s="288"/>
    </row>
    <row r="36" spans="2:7" x14ac:dyDescent="0.25">
      <c r="B36" s="288" t="s">
        <v>50</v>
      </c>
      <c r="C36" s="288"/>
      <c r="D36" s="288"/>
    </row>
    <row r="37" spans="2:7" x14ac:dyDescent="0.25">
      <c r="B37" s="288" t="s">
        <v>166</v>
      </c>
      <c r="C37" s="288"/>
      <c r="D37" s="288"/>
    </row>
    <row r="38" spans="2:7" x14ac:dyDescent="0.25">
      <c r="B38" s="288" t="s">
        <v>51</v>
      </c>
      <c r="C38" s="288"/>
      <c r="D38" s="288"/>
    </row>
    <row r="39" spans="2:7" x14ac:dyDescent="0.25">
      <c r="B39" s="288" t="s">
        <v>52</v>
      </c>
      <c r="C39" s="288"/>
      <c r="D39" s="288"/>
    </row>
    <row r="40" spans="2:7" x14ac:dyDescent="0.25">
      <c r="B40" s="288"/>
      <c r="C40" s="288"/>
      <c r="D40" s="288"/>
    </row>
    <row r="42" spans="2:7" x14ac:dyDescent="0.25">
      <c r="B42" s="202"/>
      <c r="C42" s="202"/>
      <c r="D42" s="202"/>
    </row>
    <row r="43" spans="2:7" x14ac:dyDescent="0.25">
      <c r="B43" s="202"/>
      <c r="C43" s="202"/>
      <c r="D43" s="202"/>
    </row>
    <row r="44" spans="2:7" x14ac:dyDescent="0.25">
      <c r="B44" s="202"/>
      <c r="C44" s="202"/>
      <c r="D44" s="202"/>
    </row>
    <row r="45" spans="2:7" x14ac:dyDescent="0.25">
      <c r="B45" s="202"/>
      <c r="C45" s="202"/>
      <c r="D45" s="202"/>
    </row>
    <row r="46" spans="2:7" x14ac:dyDescent="0.25">
      <c r="B46" s="202"/>
      <c r="C46" s="202"/>
      <c r="D46" s="202"/>
    </row>
    <row r="47" spans="2:7" x14ac:dyDescent="0.25">
      <c r="B47" s="202"/>
      <c r="C47" s="202"/>
      <c r="D47" s="202"/>
    </row>
    <row r="48" spans="2:7"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30">
    <mergeCell ref="B39:D39"/>
    <mergeCell ref="B45:D45"/>
    <mergeCell ref="F6:G6"/>
    <mergeCell ref="K24:L24"/>
    <mergeCell ref="B37:D37"/>
    <mergeCell ref="B38:D38"/>
    <mergeCell ref="F17:G17"/>
    <mergeCell ref="B7:C7"/>
    <mergeCell ref="B8:C8"/>
    <mergeCell ref="B34:D34"/>
    <mergeCell ref="B42:D42"/>
    <mergeCell ref="B43:D43"/>
    <mergeCell ref="B44:D44"/>
    <mergeCell ref="B40:D40"/>
    <mergeCell ref="B2:D2"/>
    <mergeCell ref="B4:D4"/>
    <mergeCell ref="B35:D35"/>
    <mergeCell ref="B36:D36"/>
    <mergeCell ref="B21:C21"/>
    <mergeCell ref="B23:C23"/>
    <mergeCell ref="B24:C24"/>
    <mergeCell ref="B25:C25"/>
    <mergeCell ref="B26:C26"/>
    <mergeCell ref="B22:C22"/>
    <mergeCell ref="B50:D50"/>
    <mergeCell ref="B51:D51"/>
    <mergeCell ref="B46:D46"/>
    <mergeCell ref="B47:D47"/>
    <mergeCell ref="B48:D48"/>
    <mergeCell ref="B49:D49"/>
  </mergeCells>
  <phoneticPr fontId="17" type="noConversion"/>
  <pageMargins left="0.49" right="0.36" top="1" bottom="1" header="0.2" footer="0"/>
  <pageSetup paperSize="9" scale="79" orientation="portrait" r:id="rId1"/>
  <headerFooter alignWithMargins="0">
    <oddHeader>&amp;L&amp;"Tahoma,Negrita"&amp;12   &amp;G
&amp;R&amp;"Tahoma,Negrita"&amp;12
Tren de Alambrón
Gijón</oddHeader>
  </headerFooter>
  <legacyDrawingHF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27">
    <pageSetUpPr fitToPage="1"/>
  </sheetPr>
  <dimension ref="A1:D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4" ht="20.25" thickBot="1" x14ac:dyDescent="0.3"/>
    <row r="2" spans="2:4" ht="27.75" thickBot="1" x14ac:dyDescent="0.4">
      <c r="B2" s="211" t="s">
        <v>40</v>
      </c>
      <c r="C2" s="212"/>
      <c r="D2" s="213"/>
    </row>
    <row r="4" spans="2:4" x14ac:dyDescent="0.25">
      <c r="B4" s="214" t="s">
        <v>30</v>
      </c>
      <c r="C4" s="214"/>
      <c r="D4" s="214"/>
    </row>
    <row r="5" spans="2:4" ht="20.25" thickBot="1" x14ac:dyDescent="0.3"/>
    <row r="6" spans="2:4" x14ac:dyDescent="0.25">
      <c r="B6" s="2" t="s">
        <v>3</v>
      </c>
      <c r="C6" s="3"/>
      <c r="D6" s="4" t="s">
        <v>16</v>
      </c>
    </row>
    <row r="7" spans="2:4" ht="26.1" customHeight="1" x14ac:dyDescent="0.25">
      <c r="B7" s="227" t="s">
        <v>1</v>
      </c>
      <c r="C7" s="228"/>
      <c r="D7" s="5" t="s">
        <v>110</v>
      </c>
    </row>
    <row r="8" spans="2:4" ht="26.1" customHeight="1" x14ac:dyDescent="0.25">
      <c r="B8" s="227" t="s">
        <v>2</v>
      </c>
      <c r="C8" s="228"/>
      <c r="D8" s="5" t="s">
        <v>167</v>
      </c>
    </row>
    <row r="9" spans="2:4" ht="20.25" thickBot="1" x14ac:dyDescent="0.3">
      <c r="D9" s="6"/>
    </row>
    <row r="10" spans="2:4" ht="20.25" thickBot="1" x14ac:dyDescent="0.3">
      <c r="B10" s="7" t="s">
        <v>4</v>
      </c>
      <c r="C10" s="8" t="s">
        <v>15</v>
      </c>
      <c r="D10" s="9" t="s">
        <v>16</v>
      </c>
    </row>
    <row r="11" spans="2:4" ht="26.1" customHeight="1" thickBot="1" x14ac:dyDescent="0.3">
      <c r="B11" s="15" t="s">
        <v>5</v>
      </c>
      <c r="C11" s="21">
        <v>3.5</v>
      </c>
      <c r="D11" s="24"/>
    </row>
    <row r="12" spans="2:4" ht="26.1" customHeight="1" thickBot="1" x14ac:dyDescent="0.3">
      <c r="B12" s="15" t="s">
        <v>6</v>
      </c>
      <c r="C12" s="21">
        <v>3.35</v>
      </c>
      <c r="D12" s="27"/>
    </row>
    <row r="13" spans="2:4" ht="26.1" customHeight="1" thickBot="1" x14ac:dyDescent="0.3">
      <c r="B13" s="15" t="s">
        <v>7</v>
      </c>
      <c r="C13" s="21">
        <v>3.48</v>
      </c>
      <c r="D13" s="11"/>
    </row>
    <row r="14" spans="2:4" ht="26.1" customHeight="1" thickBot="1" x14ac:dyDescent="0.3">
      <c r="B14" s="15" t="s">
        <v>8</v>
      </c>
      <c r="C14" s="21">
        <v>2.1</v>
      </c>
      <c r="D14" s="11"/>
    </row>
    <row r="15" spans="2:4" ht="26.1" customHeight="1" thickBot="1" x14ac:dyDescent="0.3">
      <c r="B15" s="15" t="s">
        <v>9</v>
      </c>
      <c r="C15" s="21">
        <v>2.11</v>
      </c>
      <c r="D15" s="11"/>
    </row>
    <row r="16" spans="2:4" ht="26.1" customHeight="1" thickBot="1" x14ac:dyDescent="0.3">
      <c r="B16" s="15" t="s">
        <v>10</v>
      </c>
      <c r="C16" s="21">
        <v>1.85</v>
      </c>
      <c r="D16" s="11"/>
    </row>
    <row r="17" spans="1:4" ht="26.1" customHeight="1" thickBot="1" x14ac:dyDescent="0.3">
      <c r="B17" s="15" t="s">
        <v>11</v>
      </c>
      <c r="C17" s="21">
        <v>1.39</v>
      </c>
      <c r="D17" s="11"/>
    </row>
    <row r="18" spans="1:4" ht="26.1" customHeight="1" thickBot="1" x14ac:dyDescent="0.3">
      <c r="B18" s="15" t="s">
        <v>12</v>
      </c>
      <c r="C18" s="21">
        <v>1.4</v>
      </c>
      <c r="D18" s="11"/>
    </row>
    <row r="19" spans="1:4" ht="26.1" customHeight="1" x14ac:dyDescent="0.25">
      <c r="B19" s="15" t="s">
        <v>13</v>
      </c>
      <c r="C19" s="10"/>
      <c r="D19" s="11"/>
    </row>
    <row r="20" spans="1:4" ht="26.1" customHeight="1" thickBot="1" x14ac:dyDescent="0.3">
      <c r="B20" s="15" t="s">
        <v>14</v>
      </c>
      <c r="C20" s="10"/>
      <c r="D20" s="11"/>
    </row>
    <row r="21" spans="1:4" ht="21" thickBot="1" x14ac:dyDescent="0.35">
      <c r="B21" s="242" t="s">
        <v>29</v>
      </c>
      <c r="C21" s="243"/>
      <c r="D21" s="9" t="s">
        <v>16</v>
      </c>
    </row>
    <row r="22" spans="1:4" ht="26.1" customHeight="1" x14ac:dyDescent="0.25">
      <c r="B22" s="230" t="s">
        <v>17</v>
      </c>
      <c r="C22" s="230"/>
      <c r="D22" s="10" t="s">
        <v>45</v>
      </c>
    </row>
    <row r="23" spans="1:4" ht="26.1" customHeight="1" x14ac:dyDescent="0.25">
      <c r="B23" s="216" t="s">
        <v>28</v>
      </c>
      <c r="C23" s="216"/>
      <c r="D23" s="10" t="s">
        <v>44</v>
      </c>
    </row>
    <row r="24" spans="1:4" x14ac:dyDescent="0.25">
      <c r="B24" s="216"/>
      <c r="C24" s="216"/>
      <c r="D24" s="5"/>
    </row>
    <row r="25" spans="1:4" ht="26.1" customHeight="1" x14ac:dyDescent="0.25">
      <c r="B25" s="216" t="s">
        <v>18</v>
      </c>
      <c r="C25" s="216"/>
      <c r="D25" s="10" t="s">
        <v>46</v>
      </c>
    </row>
    <row r="26" spans="1:4" ht="26.1" customHeight="1" x14ac:dyDescent="0.25">
      <c r="B26" s="216" t="s">
        <v>19</v>
      </c>
      <c r="C26" s="216"/>
      <c r="D26" s="13">
        <v>0</v>
      </c>
    </row>
    <row r="27" spans="1:4" ht="20.25" thickBot="1" x14ac:dyDescent="0.3">
      <c r="D27" s="6"/>
    </row>
    <row r="28" spans="1:4" ht="20.25" thickBot="1" x14ac:dyDescent="0.3">
      <c r="B28" s="7" t="s">
        <v>20</v>
      </c>
      <c r="C28" s="14" t="s">
        <v>15</v>
      </c>
      <c r="D28" s="9" t="s">
        <v>16</v>
      </c>
    </row>
    <row r="29" spans="1:4" ht="26.1" customHeight="1" thickBot="1" x14ac:dyDescent="0.3">
      <c r="A29" s="1" t="s">
        <v>439</v>
      </c>
      <c r="B29" s="16" t="s">
        <v>21</v>
      </c>
      <c r="C29" s="21">
        <v>1.4</v>
      </c>
      <c r="D29" s="11"/>
    </row>
    <row r="30" spans="1:4" ht="26.1" customHeight="1" thickBot="1" x14ac:dyDescent="0.3">
      <c r="B30" s="17" t="s">
        <v>22</v>
      </c>
      <c r="C30" s="21">
        <v>1.35</v>
      </c>
      <c r="D30" s="12"/>
    </row>
    <row r="31" spans="1:4" ht="26.1" customHeight="1" thickBot="1" x14ac:dyDescent="0.3">
      <c r="B31" s="17" t="s">
        <v>23</v>
      </c>
      <c r="C31" s="21">
        <v>1.4</v>
      </c>
      <c r="D31" s="12"/>
    </row>
    <row r="32" spans="1:4" ht="26.1" customHeight="1" thickBot="1" x14ac:dyDescent="0.3">
      <c r="B32" s="17" t="s">
        <v>24</v>
      </c>
      <c r="C32" s="21" t="s">
        <v>43</v>
      </c>
      <c r="D32" s="12"/>
    </row>
    <row r="33" spans="2:4" ht="20.25" thickBot="1" x14ac:dyDescent="0.3"/>
    <row r="34" spans="2:4" ht="20.25" x14ac:dyDescent="0.3">
      <c r="B34" s="238" t="s">
        <v>25</v>
      </c>
      <c r="C34" s="239"/>
      <c r="D34" s="240"/>
    </row>
    <row r="35" spans="2:4" x14ac:dyDescent="0.25">
      <c r="B35" s="241" t="s">
        <v>42</v>
      </c>
      <c r="C35" s="241"/>
      <c r="D35" s="241"/>
    </row>
    <row r="36" spans="2:4" x14ac:dyDescent="0.25">
      <c r="B36" s="281"/>
      <c r="C36" s="281"/>
      <c r="D36" s="281"/>
    </row>
    <row r="37" spans="2:4" x14ac:dyDescent="0.25">
      <c r="B37" s="281"/>
      <c r="C37" s="281"/>
      <c r="D37" s="281"/>
    </row>
    <row r="38" spans="2:4" x14ac:dyDescent="0.25">
      <c r="B38" s="281"/>
      <c r="C38" s="281"/>
      <c r="D38" s="281"/>
    </row>
    <row r="39" spans="2:4" x14ac:dyDescent="0.25">
      <c r="B39" s="281"/>
      <c r="C39" s="281"/>
      <c r="D39" s="281"/>
    </row>
    <row r="40" spans="2:4" x14ac:dyDescent="0.25">
      <c r="B40" s="281"/>
      <c r="C40" s="281"/>
      <c r="D40" s="28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legacyDrawingHF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28">
    <pageSetUpPr fitToPage="1"/>
  </sheetPr>
  <dimension ref="A1:I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6" width="10.85546875" style="1" customWidth="1"/>
    <col min="7" max="16384" width="11.42578125" style="1"/>
  </cols>
  <sheetData>
    <row r="1" spans="2:5" ht="20.25" thickBot="1" x14ac:dyDescent="0.3">
      <c r="E1" s="39"/>
    </row>
    <row r="2" spans="2:5" ht="27.75" thickBot="1" x14ac:dyDescent="0.4">
      <c r="B2" s="211" t="s">
        <v>34</v>
      </c>
      <c r="C2" s="212"/>
      <c r="D2" s="213"/>
    </row>
    <row r="4" spans="2:5" x14ac:dyDescent="0.25">
      <c r="B4" s="214" t="s">
        <v>30</v>
      </c>
      <c r="C4" s="214"/>
      <c r="D4" s="214"/>
    </row>
    <row r="5" spans="2:5" ht="20.25" thickBot="1" x14ac:dyDescent="0.3"/>
    <row r="6" spans="2:5" x14ac:dyDescent="0.25">
      <c r="B6" s="2" t="s">
        <v>3</v>
      </c>
      <c r="C6" s="3"/>
      <c r="D6" s="4" t="s">
        <v>16</v>
      </c>
    </row>
    <row r="7" spans="2:5" ht="26.1" customHeight="1" x14ac:dyDescent="0.25">
      <c r="B7" s="227" t="s">
        <v>1</v>
      </c>
      <c r="C7" s="228"/>
      <c r="D7" s="5" t="s">
        <v>35</v>
      </c>
    </row>
    <row r="8" spans="2:5" ht="26.1" customHeight="1" x14ac:dyDescent="0.25">
      <c r="B8" s="227" t="s">
        <v>2</v>
      </c>
      <c r="C8" s="228"/>
      <c r="D8" s="5" t="s">
        <v>27</v>
      </c>
    </row>
    <row r="9" spans="2:5" ht="20.25" thickBot="1" x14ac:dyDescent="0.3">
      <c r="D9" s="6"/>
    </row>
    <row r="10" spans="2:5" ht="20.25" thickBot="1" x14ac:dyDescent="0.3">
      <c r="B10" s="7" t="s">
        <v>4</v>
      </c>
      <c r="C10" s="8" t="s">
        <v>15</v>
      </c>
      <c r="D10" s="9" t="s">
        <v>16</v>
      </c>
    </row>
    <row r="11" spans="2:5" ht="26.1" customHeight="1" thickBot="1" x14ac:dyDescent="0.3">
      <c r="B11" s="15" t="s">
        <v>5</v>
      </c>
      <c r="C11" s="20">
        <v>3.7</v>
      </c>
      <c r="D11" s="11"/>
    </row>
    <row r="12" spans="2:5" ht="26.1" customHeight="1" thickBot="1" x14ac:dyDescent="0.3">
      <c r="B12" s="15" t="s">
        <v>6</v>
      </c>
      <c r="C12" s="20">
        <v>3.4</v>
      </c>
      <c r="D12" s="11"/>
    </row>
    <row r="13" spans="2:5" ht="26.1" customHeight="1" thickBot="1" x14ac:dyDescent="0.3">
      <c r="B13" s="15" t="s">
        <v>7</v>
      </c>
      <c r="C13" s="20">
        <v>3.48</v>
      </c>
      <c r="D13" s="24"/>
    </row>
    <row r="14" spans="2:5" ht="26.1" customHeight="1" thickBot="1" x14ac:dyDescent="0.3">
      <c r="B14" s="15" t="s">
        <v>8</v>
      </c>
      <c r="C14" s="20">
        <v>2.2000000000000002</v>
      </c>
      <c r="D14" s="26"/>
    </row>
    <row r="15" spans="2:5" ht="26.1" customHeight="1" thickBot="1" x14ac:dyDescent="0.3">
      <c r="B15" s="15" t="s">
        <v>9</v>
      </c>
      <c r="C15" s="20">
        <v>2.2000000000000002</v>
      </c>
      <c r="D15" s="27"/>
    </row>
    <row r="16" spans="2:5" ht="26.1" customHeight="1" thickBot="1" x14ac:dyDescent="0.3">
      <c r="B16" s="15" t="s">
        <v>10</v>
      </c>
      <c r="C16" s="20">
        <v>1.96</v>
      </c>
      <c r="D16" s="25"/>
    </row>
    <row r="17" spans="1:9" ht="26.1" customHeight="1" thickBot="1" x14ac:dyDescent="0.3">
      <c r="B17" s="15" t="s">
        <v>11</v>
      </c>
      <c r="C17" s="20">
        <v>1.6</v>
      </c>
      <c r="D17" s="27"/>
    </row>
    <row r="18" spans="1:9" ht="26.1" customHeight="1" thickBot="1" x14ac:dyDescent="0.3">
      <c r="B18" s="15" t="s">
        <v>12</v>
      </c>
      <c r="C18" s="20">
        <v>1.4</v>
      </c>
      <c r="D18" s="28"/>
    </row>
    <row r="19" spans="1:9" ht="26.1" customHeight="1" x14ac:dyDescent="0.25">
      <c r="B19" s="15" t="s">
        <v>13</v>
      </c>
      <c r="C19" s="10"/>
      <c r="D19" s="11"/>
    </row>
    <row r="20" spans="1:9" ht="26.1" customHeight="1" thickBot="1" x14ac:dyDescent="0.3">
      <c r="B20" s="15" t="s">
        <v>14</v>
      </c>
      <c r="C20" s="10"/>
      <c r="D20" s="11"/>
      <c r="F20" s="62" t="s">
        <v>237</v>
      </c>
      <c r="H20" s="62" t="s">
        <v>241</v>
      </c>
    </row>
    <row r="21" spans="1:9" ht="21" thickBot="1" x14ac:dyDescent="0.35">
      <c r="B21" s="242" t="s">
        <v>29</v>
      </c>
      <c r="C21" s="243"/>
      <c r="D21" s="9" t="s">
        <v>16</v>
      </c>
      <c r="F21" s="63" t="s">
        <v>239</v>
      </c>
      <c r="G21" s="6" t="s">
        <v>240</v>
      </c>
      <c r="H21" s="63" t="s">
        <v>239</v>
      </c>
      <c r="I21" s="6" t="s">
        <v>240</v>
      </c>
    </row>
    <row r="22" spans="1:9" ht="26.1" customHeight="1" x14ac:dyDescent="0.25">
      <c r="B22" s="230" t="s">
        <v>17</v>
      </c>
      <c r="C22" s="230"/>
      <c r="D22" s="22" t="s">
        <v>238</v>
      </c>
      <c r="F22" s="6">
        <v>61.5</v>
      </c>
      <c r="G22" s="6">
        <v>61.5</v>
      </c>
      <c r="H22" s="6">
        <v>61</v>
      </c>
      <c r="I22" s="6">
        <v>60.7</v>
      </c>
    </row>
    <row r="23" spans="1:9" ht="26.1" customHeight="1" x14ac:dyDescent="0.25">
      <c r="B23" s="216" t="s">
        <v>28</v>
      </c>
      <c r="C23" s="216"/>
      <c r="D23" s="23" t="s">
        <v>37</v>
      </c>
      <c r="F23" s="6"/>
      <c r="G23" s="6"/>
      <c r="H23" s="6" t="s">
        <v>242</v>
      </c>
      <c r="I23" s="6"/>
    </row>
    <row r="24" spans="1:9" x14ac:dyDescent="0.25">
      <c r="B24" s="216"/>
      <c r="C24" s="216"/>
      <c r="D24" s="5"/>
      <c r="F24" s="6"/>
      <c r="G24" s="6"/>
      <c r="H24" s="6"/>
      <c r="I24" s="6"/>
    </row>
    <row r="25" spans="1:9" ht="26.1" customHeight="1" x14ac:dyDescent="0.25">
      <c r="B25" s="216" t="s">
        <v>18</v>
      </c>
      <c r="C25" s="216"/>
      <c r="D25" s="23" t="s">
        <v>36</v>
      </c>
      <c r="F25" s="6">
        <v>975</v>
      </c>
      <c r="G25" s="6">
        <v>975</v>
      </c>
      <c r="H25" s="6">
        <v>975</v>
      </c>
      <c r="I25" s="6">
        <v>975</v>
      </c>
    </row>
    <row r="26" spans="1:9" ht="26.1" customHeight="1" x14ac:dyDescent="0.25">
      <c r="B26" s="216" t="s">
        <v>19</v>
      </c>
      <c r="C26" s="216"/>
      <c r="D26" s="13">
        <v>0.03</v>
      </c>
    </row>
    <row r="27" spans="1:9" ht="20.25" thickBot="1" x14ac:dyDescent="0.3">
      <c r="D27" s="6"/>
    </row>
    <row r="28" spans="1:9" ht="20.25" thickBot="1" x14ac:dyDescent="0.3">
      <c r="B28" s="7" t="s">
        <v>20</v>
      </c>
      <c r="C28" s="14" t="s">
        <v>15</v>
      </c>
      <c r="D28" s="9" t="s">
        <v>16</v>
      </c>
    </row>
    <row r="29" spans="1:9" ht="26.1" customHeight="1" x14ac:dyDescent="0.25">
      <c r="B29" s="16" t="s">
        <v>21</v>
      </c>
      <c r="C29" s="10">
        <v>1.5</v>
      </c>
      <c r="D29" s="11"/>
    </row>
    <row r="30" spans="1:9" ht="26.1" customHeight="1" x14ac:dyDescent="0.25">
      <c r="A30" s="1">
        <v>6</v>
      </c>
      <c r="B30" s="17" t="s">
        <v>22</v>
      </c>
      <c r="C30" s="5">
        <v>1.33</v>
      </c>
      <c r="D30" s="12"/>
    </row>
    <row r="31" spans="1:9" ht="26.1" customHeight="1" x14ac:dyDescent="0.25">
      <c r="B31" s="17" t="s">
        <v>23</v>
      </c>
      <c r="C31" s="5">
        <v>1.43</v>
      </c>
      <c r="D31" s="12"/>
    </row>
    <row r="32" spans="1:9" ht="26.1" customHeight="1" x14ac:dyDescent="0.25">
      <c r="B32" s="17" t="s">
        <v>24</v>
      </c>
      <c r="C32" s="5">
        <v>1.25</v>
      </c>
      <c r="D32" s="12"/>
    </row>
    <row r="33" spans="2:4" ht="20.25" thickBot="1" x14ac:dyDescent="0.3"/>
    <row r="34" spans="2:4" ht="20.25" x14ac:dyDescent="0.3">
      <c r="B34" s="238" t="s">
        <v>25</v>
      </c>
      <c r="C34" s="239"/>
      <c r="D34" s="240"/>
    </row>
    <row r="35" spans="2:4" x14ac:dyDescent="0.25">
      <c r="B35" s="288" t="s">
        <v>111</v>
      </c>
      <c r="C35" s="288"/>
      <c r="D35" s="288"/>
    </row>
    <row r="36" spans="2:4" x14ac:dyDescent="0.25">
      <c r="B36" s="288" t="s">
        <v>38</v>
      </c>
      <c r="C36" s="288"/>
      <c r="D36" s="288"/>
    </row>
    <row r="37" spans="2:4" x14ac:dyDescent="0.25">
      <c r="B37" s="288" t="s">
        <v>39</v>
      </c>
      <c r="C37" s="288"/>
      <c r="D37" s="288"/>
    </row>
    <row r="38" spans="2:4" x14ac:dyDescent="0.25">
      <c r="B38" s="281"/>
      <c r="C38" s="281"/>
      <c r="D38" s="281"/>
    </row>
    <row r="39" spans="2:4" x14ac:dyDescent="0.25">
      <c r="B39" s="281"/>
      <c r="C39" s="281"/>
      <c r="D39" s="281"/>
    </row>
    <row r="40" spans="2:4" x14ac:dyDescent="0.25">
      <c r="B40" s="281"/>
      <c r="C40" s="281"/>
      <c r="D40" s="28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51:D51"/>
    <mergeCell ref="B46:D46"/>
    <mergeCell ref="B47:D47"/>
    <mergeCell ref="B48:D48"/>
    <mergeCell ref="B49:D49"/>
    <mergeCell ref="B50:D50"/>
    <mergeCell ref="B45:D45"/>
    <mergeCell ref="B22:C22"/>
    <mergeCell ref="B42:D42"/>
    <mergeCell ref="B43:D43"/>
    <mergeCell ref="B44:D44"/>
    <mergeCell ref="B36:D36"/>
    <mergeCell ref="B39:D39"/>
    <mergeCell ref="B23:C23"/>
    <mergeCell ref="B40:D40"/>
    <mergeCell ref="B37:D37"/>
    <mergeCell ref="B38:D38"/>
    <mergeCell ref="B24:C24"/>
    <mergeCell ref="B25:C25"/>
    <mergeCell ref="B26:C26"/>
    <mergeCell ref="B34:D34"/>
    <mergeCell ref="B2:D2"/>
    <mergeCell ref="B4:D4"/>
    <mergeCell ref="B35:D35"/>
    <mergeCell ref="B7:C7"/>
    <mergeCell ref="B8:C8"/>
    <mergeCell ref="B21:C21"/>
  </mergeCells>
  <phoneticPr fontId="17" type="noConversion"/>
  <pageMargins left="0.75" right="0.75" top="1" bottom="1" header="0" footer="0"/>
  <pageSetup paperSize="9" scale="76" orientation="portrait" r:id="rId1"/>
  <headerFooter alignWithMargins="0">
    <oddHeader>&amp;L&amp;"Tahoma,Negrita"&amp;12   &amp;G
&amp;R&amp;"Tahoma,Negrita"&amp;12
Tren de Alambrón
Gijón</oddHeader>
  </headerFooter>
  <legacyDrawingHF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9">
    <pageSetUpPr fitToPage="1"/>
  </sheetPr>
  <dimension ref="A1:D51"/>
  <sheetViews>
    <sheetView view="pageBreakPreview" zoomScale="40" zoomScaleNormal="100" zoomScaleSheetLayoutView="40" workbookViewId="0">
      <selection activeCell="O28" sqref="O28"/>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4" ht="20.25" thickBot="1" x14ac:dyDescent="0.3"/>
    <row r="2" spans="2:4" ht="27.75" thickBot="1" x14ac:dyDescent="0.4">
      <c r="B2" s="211" t="s">
        <v>31</v>
      </c>
      <c r="C2" s="212"/>
      <c r="D2" s="213"/>
    </row>
    <row r="4" spans="2:4" x14ac:dyDescent="0.25">
      <c r="B4" s="214" t="s">
        <v>30</v>
      </c>
      <c r="C4" s="214"/>
      <c r="D4" s="214"/>
    </row>
    <row r="5" spans="2:4" ht="20.25" thickBot="1" x14ac:dyDescent="0.3"/>
    <row r="6" spans="2:4" ht="20.25" thickBot="1" x14ac:dyDescent="0.3">
      <c r="B6" s="2" t="s">
        <v>3</v>
      </c>
      <c r="C6" s="3"/>
      <c r="D6" s="4" t="s">
        <v>16</v>
      </c>
    </row>
    <row r="7" spans="2:4" ht="26.1" customHeight="1" thickBot="1" x14ac:dyDescent="0.3">
      <c r="B7" s="227" t="s">
        <v>1</v>
      </c>
      <c r="C7" s="228"/>
      <c r="D7" s="20" t="s">
        <v>105</v>
      </c>
    </row>
    <row r="8" spans="2:4" ht="26.1" customHeight="1" thickBot="1" x14ac:dyDescent="0.3">
      <c r="B8" s="227" t="s">
        <v>2</v>
      </c>
      <c r="C8" s="228"/>
      <c r="D8" s="20" t="s">
        <v>108</v>
      </c>
    </row>
    <row r="9" spans="2:4" ht="20.25" thickBot="1" x14ac:dyDescent="0.3">
      <c r="D9" s="6"/>
    </row>
    <row r="10" spans="2:4" ht="20.25" thickBot="1" x14ac:dyDescent="0.3">
      <c r="B10" s="7" t="s">
        <v>4</v>
      </c>
      <c r="C10" s="8" t="s">
        <v>15</v>
      </c>
      <c r="D10" s="9" t="s">
        <v>16</v>
      </c>
    </row>
    <row r="11" spans="2:4" ht="26.1" customHeight="1" thickBot="1" x14ac:dyDescent="0.3">
      <c r="B11" s="15" t="s">
        <v>5</v>
      </c>
      <c r="C11" s="18">
        <v>3.75</v>
      </c>
      <c r="D11" s="11">
        <v>14.75</v>
      </c>
    </row>
    <row r="12" spans="2:4" ht="26.1" customHeight="1" thickBot="1" x14ac:dyDescent="0.3">
      <c r="B12" s="15" t="s">
        <v>6</v>
      </c>
      <c r="C12" s="18">
        <v>3.45</v>
      </c>
      <c r="D12" s="11">
        <v>17.45</v>
      </c>
    </row>
    <row r="13" spans="2:4" ht="26.1" customHeight="1" thickBot="1" x14ac:dyDescent="0.3">
      <c r="B13" s="15" t="s">
        <v>7</v>
      </c>
      <c r="C13" s="18">
        <v>3.55</v>
      </c>
      <c r="D13" s="11">
        <v>11.95</v>
      </c>
    </row>
    <row r="14" spans="2:4" ht="26.1" customHeight="1" thickBot="1" x14ac:dyDescent="0.3">
      <c r="B14" s="15" t="s">
        <v>8</v>
      </c>
      <c r="C14" s="18">
        <v>2.35</v>
      </c>
      <c r="D14" s="11">
        <v>14.65</v>
      </c>
    </row>
    <row r="15" spans="2:4" ht="26.1" customHeight="1" thickBot="1" x14ac:dyDescent="0.3">
      <c r="B15" s="15" t="s">
        <v>9</v>
      </c>
      <c r="C15" s="18">
        <v>2.38</v>
      </c>
      <c r="D15" s="11">
        <v>9.3800000000000008</v>
      </c>
    </row>
    <row r="16" spans="2:4" ht="26.1" customHeight="1" thickBot="1" x14ac:dyDescent="0.3">
      <c r="B16" s="15" t="s">
        <v>10</v>
      </c>
      <c r="C16" s="18">
        <v>2.1</v>
      </c>
      <c r="D16" s="11">
        <v>11.8</v>
      </c>
    </row>
    <row r="17" spans="1:4" ht="26.1" customHeight="1" thickBot="1" x14ac:dyDescent="0.3">
      <c r="B17" s="15" t="s">
        <v>11</v>
      </c>
      <c r="C17" s="18">
        <v>1.55</v>
      </c>
      <c r="D17" s="11">
        <v>6.75</v>
      </c>
    </row>
    <row r="18" spans="1:4" ht="26.1" customHeight="1" thickBot="1" x14ac:dyDescent="0.3">
      <c r="B18" s="15" t="s">
        <v>12</v>
      </c>
      <c r="C18" s="18">
        <v>1.6</v>
      </c>
      <c r="D18" s="11">
        <v>9.1999999999999993</v>
      </c>
    </row>
    <row r="19" spans="1:4" ht="26.1" customHeight="1" thickBot="1" x14ac:dyDescent="0.3">
      <c r="B19" s="15" t="s">
        <v>13</v>
      </c>
      <c r="C19" s="18">
        <v>1.53</v>
      </c>
      <c r="D19" s="11">
        <v>5.53</v>
      </c>
    </row>
    <row r="20" spans="1:4" ht="26.1" customHeight="1" thickBot="1" x14ac:dyDescent="0.3">
      <c r="B20" s="15" t="s">
        <v>14</v>
      </c>
      <c r="C20" s="18">
        <v>1.25</v>
      </c>
      <c r="D20" s="11">
        <v>7.4</v>
      </c>
    </row>
    <row r="21" spans="1:4" ht="21" thickBot="1" x14ac:dyDescent="0.35">
      <c r="B21" s="242" t="s">
        <v>29</v>
      </c>
      <c r="C21" s="243"/>
      <c r="D21" s="9" t="s">
        <v>16</v>
      </c>
    </row>
    <row r="22" spans="1:4" ht="26.1" customHeight="1" thickBot="1" x14ac:dyDescent="0.3">
      <c r="B22" s="230" t="s">
        <v>17</v>
      </c>
      <c r="C22" s="230"/>
      <c r="D22" s="20" t="s">
        <v>106</v>
      </c>
    </row>
    <row r="23" spans="1:4" ht="26.1" customHeight="1" thickBot="1" x14ac:dyDescent="0.3">
      <c r="B23" s="216" t="s">
        <v>28</v>
      </c>
      <c r="C23" s="216"/>
      <c r="D23" s="20" t="s">
        <v>107</v>
      </c>
    </row>
    <row r="24" spans="1:4" ht="20.25" thickBot="1" x14ac:dyDescent="0.3">
      <c r="B24" s="216"/>
      <c r="C24" s="216"/>
      <c r="D24" s="5"/>
    </row>
    <row r="25" spans="1:4" ht="26.1" customHeight="1" thickBot="1" x14ac:dyDescent="0.3">
      <c r="B25" s="216" t="s">
        <v>18</v>
      </c>
      <c r="C25" s="216"/>
      <c r="D25" s="20" t="s">
        <v>32</v>
      </c>
    </row>
    <row r="26" spans="1:4" ht="26.1" customHeight="1" thickBot="1" x14ac:dyDescent="0.3">
      <c r="B26" s="216" t="s">
        <v>19</v>
      </c>
      <c r="C26" s="216"/>
      <c r="D26" s="20">
        <v>0</v>
      </c>
    </row>
    <row r="27" spans="1:4" ht="20.25" thickBot="1" x14ac:dyDescent="0.3">
      <c r="D27" s="6"/>
    </row>
    <row r="28" spans="1:4" ht="20.25" thickBot="1" x14ac:dyDescent="0.3">
      <c r="B28" s="7" t="s">
        <v>20</v>
      </c>
      <c r="C28" s="14" t="s">
        <v>15</v>
      </c>
      <c r="D28" s="9" t="s">
        <v>16</v>
      </c>
    </row>
    <row r="29" spans="1:4" ht="26.1" customHeight="1" thickBot="1" x14ac:dyDescent="0.3">
      <c r="B29" s="16" t="s">
        <v>21</v>
      </c>
      <c r="C29" s="21">
        <v>1.65</v>
      </c>
      <c r="D29" s="11"/>
    </row>
    <row r="30" spans="1:4" ht="26.1" customHeight="1" thickBot="1" x14ac:dyDescent="0.3">
      <c r="B30" s="17" t="s">
        <v>22</v>
      </c>
      <c r="C30" s="21">
        <v>1.25</v>
      </c>
      <c r="D30" s="12"/>
    </row>
    <row r="31" spans="1:4" ht="26.1" customHeight="1" thickBot="1" x14ac:dyDescent="0.3">
      <c r="A31" s="1" t="s">
        <v>440</v>
      </c>
      <c r="B31" s="17" t="s">
        <v>23</v>
      </c>
      <c r="C31" s="21">
        <v>1.4</v>
      </c>
      <c r="D31" s="12"/>
    </row>
    <row r="32" spans="1:4" ht="26.1" customHeight="1" thickBot="1" x14ac:dyDescent="0.3">
      <c r="B32" s="17" t="s">
        <v>24</v>
      </c>
      <c r="C32" s="21">
        <v>1.2</v>
      </c>
      <c r="D32" s="12"/>
    </row>
    <row r="33" spans="2:4" ht="20.25" thickBot="1" x14ac:dyDescent="0.3"/>
    <row r="34" spans="2:4" ht="20.25" x14ac:dyDescent="0.3">
      <c r="B34" s="238" t="s">
        <v>25</v>
      </c>
      <c r="C34" s="239"/>
      <c r="D34" s="240"/>
    </row>
    <row r="35" spans="2:4" x14ac:dyDescent="0.25">
      <c r="B35" s="288" t="s">
        <v>33</v>
      </c>
      <c r="C35" s="288"/>
      <c r="D35" s="288"/>
    </row>
    <row r="36" spans="2:4" x14ac:dyDescent="0.25">
      <c r="B36" s="281"/>
      <c r="C36" s="281"/>
      <c r="D36" s="281"/>
    </row>
    <row r="37" spans="2:4" x14ac:dyDescent="0.25">
      <c r="B37" s="281"/>
      <c r="C37" s="281"/>
      <c r="D37" s="281"/>
    </row>
    <row r="38" spans="2:4" x14ac:dyDescent="0.25">
      <c r="B38" s="281"/>
      <c r="C38" s="281"/>
      <c r="D38" s="281"/>
    </row>
    <row r="39" spans="2:4" x14ac:dyDescent="0.25">
      <c r="B39" s="281"/>
      <c r="C39" s="281"/>
      <c r="D39" s="281"/>
    </row>
    <row r="40" spans="2:4" x14ac:dyDescent="0.25">
      <c r="B40" s="281"/>
      <c r="C40" s="281"/>
      <c r="D40" s="281"/>
    </row>
    <row r="42" spans="2:4" x14ac:dyDescent="0.25">
      <c r="B42" s="202"/>
      <c r="C42" s="202"/>
      <c r="D42" s="202"/>
    </row>
    <row r="43" spans="2:4" x14ac:dyDescent="0.25">
      <c r="B43" s="202"/>
      <c r="C43" s="202"/>
      <c r="D43" s="202"/>
    </row>
    <row r="44" spans="2:4" x14ac:dyDescent="0.25">
      <c r="B44" s="202"/>
      <c r="C44" s="202"/>
      <c r="D44" s="202"/>
    </row>
    <row r="45" spans="2:4" x14ac:dyDescent="0.25">
      <c r="B45" s="202"/>
      <c r="C45" s="202"/>
      <c r="D45" s="202"/>
    </row>
    <row r="46" spans="2:4" x14ac:dyDescent="0.25">
      <c r="B46" s="202"/>
      <c r="C46" s="202"/>
      <c r="D46" s="202"/>
    </row>
    <row r="47" spans="2:4" x14ac:dyDescent="0.25">
      <c r="B47" s="202"/>
      <c r="C47" s="202"/>
      <c r="D47" s="202"/>
    </row>
    <row r="48" spans="2:4" x14ac:dyDescent="0.25">
      <c r="B48" s="202"/>
      <c r="C48" s="202"/>
      <c r="D48" s="202"/>
    </row>
    <row r="49" spans="2:4" x14ac:dyDescent="0.25">
      <c r="B49" s="202"/>
      <c r="C49" s="202"/>
      <c r="D49" s="202"/>
    </row>
    <row r="50" spans="2:4" x14ac:dyDescent="0.25">
      <c r="B50" s="202"/>
      <c r="C50" s="202"/>
      <c r="D50" s="202"/>
    </row>
    <row r="51" spans="2:4" x14ac:dyDescent="0.25">
      <c r="B51" s="202"/>
      <c r="C51" s="202"/>
      <c r="D51" s="202"/>
    </row>
  </sheetData>
  <mergeCells count="27">
    <mergeCell ref="B2:D2"/>
    <mergeCell ref="B4:D4"/>
    <mergeCell ref="B35:D35"/>
    <mergeCell ref="B36:D36"/>
    <mergeCell ref="B21:C21"/>
    <mergeCell ref="B7:C7"/>
    <mergeCell ref="B8:C8"/>
    <mergeCell ref="B34:D34"/>
    <mergeCell ref="B22:C22"/>
    <mergeCell ref="B23:C23"/>
    <mergeCell ref="B24:C24"/>
    <mergeCell ref="B25:C25"/>
    <mergeCell ref="B42:D42"/>
    <mergeCell ref="B43:D43"/>
    <mergeCell ref="B44:D44"/>
    <mergeCell ref="B45:D45"/>
    <mergeCell ref="B26:C26"/>
    <mergeCell ref="B40:D40"/>
    <mergeCell ref="B37:D37"/>
    <mergeCell ref="B38:D38"/>
    <mergeCell ref="B39:D39"/>
    <mergeCell ref="B50:D50"/>
    <mergeCell ref="B51:D51"/>
    <mergeCell ref="B46:D46"/>
    <mergeCell ref="B47:D47"/>
    <mergeCell ref="B48:D48"/>
    <mergeCell ref="B49:D49"/>
  </mergeCells>
  <phoneticPr fontId="17" type="noConversion"/>
  <pageMargins left="0.75" right="0.75" top="1" bottom="1" header="0" footer="0"/>
  <pageSetup paperSize="9" scale="75" orientation="portrait" r:id="rId1"/>
  <headerFooter alignWithMargins="0">
    <oddHeader>&amp;L&amp;"Tahoma,Negrita"&amp;12   &amp;G
&amp;R&amp;"Tahoma,Negrita"&amp;12
Tren de Alambrón
Gijón</oddHeader>
  </headerFooter>
  <legacyDrawingHF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30">
    <pageSetUpPr fitToPage="1"/>
  </sheetPr>
  <dimension ref="B1:E40"/>
  <sheetViews>
    <sheetView view="pageBreakPreview" zoomScale="60" zoomScaleNormal="100" workbookViewId="0">
      <selection activeCell="B25" sqref="B25:D25"/>
    </sheetView>
  </sheetViews>
  <sheetFormatPr baseColWidth="10" defaultColWidth="11.42578125" defaultRowHeight="19.5" x14ac:dyDescent="0.25"/>
  <cols>
    <col min="1" max="1" width="8.7109375" style="1" customWidth="1"/>
    <col min="2" max="3" width="25.7109375" style="1" customWidth="1"/>
    <col min="4" max="4" width="35.7109375" style="1" customWidth="1"/>
    <col min="5" max="5" width="8.7109375" style="1" customWidth="1"/>
    <col min="6" max="16384" width="11.42578125" style="1"/>
  </cols>
  <sheetData>
    <row r="1" spans="2:4" ht="20.25" thickBot="1" x14ac:dyDescent="0.3"/>
    <row r="2" spans="2:4" ht="27.75" thickBot="1" x14ac:dyDescent="0.4">
      <c r="B2" s="211" t="s">
        <v>338</v>
      </c>
      <c r="C2" s="212"/>
      <c r="D2" s="213"/>
    </row>
    <row r="3" spans="2:4" x14ac:dyDescent="0.25">
      <c r="B3" s="62"/>
    </row>
    <row r="4" spans="2:4" x14ac:dyDescent="0.25">
      <c r="B4" s="214" t="s">
        <v>30</v>
      </c>
      <c r="C4" s="214"/>
      <c r="D4" s="214"/>
    </row>
    <row r="5" spans="2:4" ht="20.25" thickBot="1" x14ac:dyDescent="0.3"/>
    <row r="6" spans="2:4" ht="21.75" customHeight="1" thickBot="1" x14ac:dyDescent="0.3">
      <c r="B6" s="242" t="s">
        <v>3</v>
      </c>
      <c r="C6" s="250"/>
      <c r="D6" s="9" t="s">
        <v>16</v>
      </c>
    </row>
    <row r="7" spans="2:4" ht="21.75" customHeight="1" x14ac:dyDescent="0.25">
      <c r="B7" s="229" t="s">
        <v>1</v>
      </c>
      <c r="C7" s="230"/>
      <c r="D7" s="141" t="s">
        <v>109</v>
      </c>
    </row>
    <row r="8" spans="2:4" ht="21.75" customHeight="1" thickBot="1" x14ac:dyDescent="0.3">
      <c r="B8" s="232" t="s">
        <v>2</v>
      </c>
      <c r="C8" s="233"/>
      <c r="D8" s="143"/>
    </row>
    <row r="9" spans="2:4" ht="21.75" customHeight="1" thickBot="1" x14ac:dyDescent="0.3">
      <c r="D9" s="6"/>
    </row>
    <row r="10" spans="2:4" ht="21.75" customHeight="1" thickBot="1" x14ac:dyDescent="0.35">
      <c r="B10" s="242" t="s">
        <v>29</v>
      </c>
      <c r="C10" s="243"/>
      <c r="D10" s="9" t="s">
        <v>16</v>
      </c>
    </row>
    <row r="11" spans="2:4" ht="21.75" customHeight="1" x14ac:dyDescent="0.25">
      <c r="B11" s="229" t="s">
        <v>17</v>
      </c>
      <c r="C11" s="230"/>
      <c r="D11" s="141" t="s">
        <v>249</v>
      </c>
    </row>
    <row r="12" spans="2:4" ht="21.75" customHeight="1" x14ac:dyDescent="0.25">
      <c r="B12" s="215" t="s">
        <v>28</v>
      </c>
      <c r="C12" s="216"/>
      <c r="D12" s="135" t="s">
        <v>165</v>
      </c>
    </row>
    <row r="13" spans="2:4" ht="21.75" customHeight="1" x14ac:dyDescent="0.25">
      <c r="B13" s="215" t="s">
        <v>18</v>
      </c>
      <c r="C13" s="216"/>
      <c r="D13" s="135" t="s">
        <v>164</v>
      </c>
    </row>
    <row r="14" spans="2:4" ht="21.75" customHeight="1" thickBot="1" x14ac:dyDescent="0.3">
      <c r="B14" s="232" t="s">
        <v>19</v>
      </c>
      <c r="C14" s="233"/>
      <c r="D14" s="137">
        <v>0</v>
      </c>
    </row>
    <row r="15" spans="2:4" ht="21.75" customHeight="1" thickBot="1" x14ac:dyDescent="0.3">
      <c r="B15" s="77"/>
      <c r="C15" s="77"/>
      <c r="D15" s="78"/>
    </row>
    <row r="16" spans="2:4" ht="21.75" customHeight="1" thickBot="1" x14ac:dyDescent="0.3">
      <c r="B16" s="7" t="s">
        <v>20</v>
      </c>
      <c r="C16" s="14" t="s">
        <v>15</v>
      </c>
      <c r="D16" s="9" t="s">
        <v>144</v>
      </c>
    </row>
    <row r="17" spans="2:5" ht="21.75" customHeight="1" x14ac:dyDescent="0.25">
      <c r="B17" s="48" t="s">
        <v>21</v>
      </c>
      <c r="C17" s="147">
        <v>1.3</v>
      </c>
      <c r="D17" s="148"/>
    </row>
    <row r="18" spans="2:5" ht="21.75" customHeight="1" x14ac:dyDescent="0.25">
      <c r="B18" s="49" t="s">
        <v>22</v>
      </c>
      <c r="C18" s="32">
        <v>1.25</v>
      </c>
      <c r="D18" s="144"/>
    </row>
    <row r="19" spans="2:5" ht="21.75" customHeight="1" x14ac:dyDescent="0.25">
      <c r="B19" s="49" t="s">
        <v>23</v>
      </c>
      <c r="C19" s="32">
        <v>1.2</v>
      </c>
      <c r="D19" s="144"/>
    </row>
    <row r="20" spans="2:5" ht="21.75" customHeight="1" thickBot="1" x14ac:dyDescent="0.3">
      <c r="B20" s="50" t="s">
        <v>24</v>
      </c>
      <c r="C20" s="145">
        <v>1.1000000000000001</v>
      </c>
      <c r="D20" s="146"/>
    </row>
    <row r="21" spans="2:5" ht="21.75" customHeight="1" thickBot="1" x14ac:dyDescent="0.3"/>
    <row r="22" spans="2:5" ht="27" customHeight="1" thickBot="1" x14ac:dyDescent="0.4">
      <c r="B22" s="302" t="s">
        <v>334</v>
      </c>
      <c r="C22" s="303"/>
      <c r="D22" s="304"/>
    </row>
    <row r="23" spans="2:5" ht="21.75" customHeight="1" thickBot="1" x14ac:dyDescent="0.3">
      <c r="D23" s="6"/>
      <c r="E23" s="128"/>
    </row>
    <row r="24" spans="2:5" ht="26.1" customHeight="1" x14ac:dyDescent="0.3">
      <c r="B24" s="299" t="s">
        <v>344</v>
      </c>
      <c r="C24" s="300"/>
      <c r="D24" s="301"/>
    </row>
    <row r="25" spans="2:5" x14ac:dyDescent="0.25">
      <c r="B25" s="296" t="s">
        <v>335</v>
      </c>
      <c r="C25" s="297"/>
      <c r="D25" s="298"/>
    </row>
    <row r="26" spans="2:5" x14ac:dyDescent="0.25">
      <c r="B26" s="296" t="s">
        <v>336</v>
      </c>
      <c r="C26" s="297"/>
      <c r="D26" s="298"/>
    </row>
    <row r="27" spans="2:5" x14ac:dyDescent="0.25">
      <c r="B27" s="293" t="s">
        <v>337</v>
      </c>
      <c r="C27" s="294"/>
      <c r="D27" s="295"/>
    </row>
    <row r="28" spans="2:5" x14ac:dyDescent="0.25">
      <c r="B28" s="149"/>
      <c r="C28" s="140" t="s">
        <v>339</v>
      </c>
      <c r="D28" s="150"/>
    </row>
    <row r="29" spans="2:5" x14ac:dyDescent="0.25">
      <c r="B29" s="149"/>
      <c r="C29" s="140" t="s">
        <v>340</v>
      </c>
      <c r="D29" s="150"/>
    </row>
    <row r="30" spans="2:5" x14ac:dyDescent="0.25">
      <c r="B30" s="149"/>
      <c r="C30" s="140" t="s">
        <v>341</v>
      </c>
      <c r="D30" s="150"/>
    </row>
    <row r="31" spans="2:5" x14ac:dyDescent="0.25">
      <c r="B31" s="149"/>
      <c r="C31" s="140" t="s">
        <v>342</v>
      </c>
      <c r="D31" s="150"/>
    </row>
    <row r="32" spans="2:5" ht="20.25" thickBot="1" x14ac:dyDescent="0.3">
      <c r="B32" s="151"/>
      <c r="C32" s="152" t="s">
        <v>343</v>
      </c>
      <c r="D32" s="153"/>
    </row>
    <row r="33" spans="2:4" x14ac:dyDescent="0.25">
      <c r="B33" s="202"/>
      <c r="C33" s="202"/>
      <c r="D33" s="202"/>
    </row>
    <row r="34" spans="2:4" x14ac:dyDescent="0.25">
      <c r="B34" s="202"/>
      <c r="C34" s="202"/>
      <c r="D34" s="202"/>
    </row>
    <row r="35" spans="2:4" x14ac:dyDescent="0.25">
      <c r="B35" s="202"/>
      <c r="C35" s="202"/>
      <c r="D35" s="202"/>
    </row>
    <row r="36" spans="2:4" x14ac:dyDescent="0.25">
      <c r="B36" s="202"/>
      <c r="C36" s="202"/>
      <c r="D36" s="202"/>
    </row>
    <row r="37" spans="2:4" x14ac:dyDescent="0.25">
      <c r="B37" s="202"/>
      <c r="C37" s="202"/>
      <c r="D37" s="202"/>
    </row>
    <row r="38" spans="2:4" x14ac:dyDescent="0.25">
      <c r="B38" s="202"/>
      <c r="C38" s="202"/>
      <c r="D38" s="202"/>
    </row>
    <row r="39" spans="2:4" x14ac:dyDescent="0.25">
      <c r="B39" s="202"/>
      <c r="C39" s="202"/>
      <c r="D39" s="202"/>
    </row>
    <row r="40" spans="2:4" x14ac:dyDescent="0.25">
      <c r="B40" s="202"/>
      <c r="C40" s="202"/>
      <c r="D40" s="202"/>
    </row>
  </sheetData>
  <mergeCells count="23">
    <mergeCell ref="B11:C11"/>
    <mergeCell ref="B25:D25"/>
    <mergeCell ref="B26:D26"/>
    <mergeCell ref="B24:D24"/>
    <mergeCell ref="B22:D22"/>
    <mergeCell ref="B33:D33"/>
    <mergeCell ref="B34:D34"/>
    <mergeCell ref="B12:C12"/>
    <mergeCell ref="B13:C13"/>
    <mergeCell ref="B14:C14"/>
    <mergeCell ref="B27:D27"/>
    <mergeCell ref="B2:D2"/>
    <mergeCell ref="B4:D4"/>
    <mergeCell ref="B10:C10"/>
    <mergeCell ref="B7:C7"/>
    <mergeCell ref="B8:C8"/>
    <mergeCell ref="B6:C6"/>
    <mergeCell ref="B39:D39"/>
    <mergeCell ref="B40:D40"/>
    <mergeCell ref="B35:D35"/>
    <mergeCell ref="B36:D36"/>
    <mergeCell ref="B37:D37"/>
    <mergeCell ref="B38:D38"/>
  </mergeCells>
  <phoneticPr fontId="17" type="noConversion"/>
  <pageMargins left="0.75" right="0.75" top="1" bottom="0.42" header="0" footer="0"/>
  <pageSetup paperSize="9" scale="84" orientation="portrait" r:id="rId1"/>
  <headerFooter alignWithMargins="0">
    <oddHeader>&amp;L&amp;"Tahoma,Negrita"&amp;12   &amp;G
&amp;R&amp;"Tahoma,Negrita"&amp;12
Tren de Alambrón
Gijón</oddHeader>
  </headerFooter>
  <legacyDrawingHF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94833-EF94-4ECC-BC29-03FA866610DD}">
  <sheetPr codeName="Hoja31"/>
  <dimension ref="A1:O39"/>
  <sheetViews>
    <sheetView tabSelected="1" workbookViewId="0">
      <selection activeCell="H35" sqref="H35"/>
    </sheetView>
  </sheetViews>
  <sheetFormatPr baseColWidth="10" defaultRowHeight="12.75" x14ac:dyDescent="0.2"/>
  <cols>
    <col min="3" max="4" width="0" hidden="1" customWidth="1"/>
  </cols>
  <sheetData>
    <row r="1" spans="1:15" ht="13.5" thickBot="1" x14ac:dyDescent="0.25">
      <c r="A1" s="199" t="s">
        <v>441</v>
      </c>
      <c r="B1" s="199" t="s">
        <v>448</v>
      </c>
      <c r="C1" s="199" t="s">
        <v>442</v>
      </c>
      <c r="D1" s="199" t="s">
        <v>443</v>
      </c>
      <c r="E1" s="199" t="s">
        <v>444</v>
      </c>
      <c r="F1" s="199" t="s">
        <v>445</v>
      </c>
      <c r="G1" s="199" t="s">
        <v>446</v>
      </c>
      <c r="H1" s="199" t="s">
        <v>447</v>
      </c>
    </row>
    <row r="2" spans="1:15" ht="13.9" customHeight="1" thickBot="1" x14ac:dyDescent="0.25">
      <c r="A2" s="199">
        <v>5.5</v>
      </c>
      <c r="B2" s="200" t="s">
        <v>449</v>
      </c>
      <c r="C2" s="200">
        <v>2.1</v>
      </c>
      <c r="D2" s="200">
        <v>2.2000000000000002</v>
      </c>
      <c r="E2" s="200">
        <v>1.3</v>
      </c>
      <c r="F2" s="200">
        <v>1.25</v>
      </c>
      <c r="G2" s="200">
        <v>1.2</v>
      </c>
      <c r="H2" s="200">
        <v>1.1000000000000001</v>
      </c>
      <c r="J2" s="201" t="s">
        <v>450</v>
      </c>
      <c r="K2" s="201"/>
      <c r="L2" s="201"/>
      <c r="M2" s="201"/>
      <c r="N2" s="201"/>
      <c r="O2" s="201"/>
    </row>
    <row r="3" spans="1:15" ht="13.5" thickBot="1" x14ac:dyDescent="0.25">
      <c r="A3" s="199">
        <v>6</v>
      </c>
      <c r="B3" s="200" t="s">
        <v>449</v>
      </c>
      <c r="C3" s="200">
        <v>2.2999999999999998</v>
      </c>
      <c r="D3" s="200">
        <v>2.4</v>
      </c>
      <c r="E3" s="200">
        <v>1.65</v>
      </c>
      <c r="F3" s="200">
        <v>1.25</v>
      </c>
      <c r="G3" s="200">
        <v>1.4</v>
      </c>
      <c r="H3" s="200">
        <v>1.2</v>
      </c>
      <c r="J3" s="201"/>
      <c r="K3" s="201"/>
      <c r="L3" s="201"/>
      <c r="M3" s="201"/>
      <c r="N3" s="201"/>
      <c r="O3" s="201"/>
    </row>
    <row r="4" spans="1:15" ht="13.5" thickBot="1" x14ac:dyDescent="0.25">
      <c r="A4" s="199">
        <v>6.5</v>
      </c>
      <c r="B4" s="200" t="s">
        <v>449</v>
      </c>
      <c r="C4" s="200">
        <v>2.4</v>
      </c>
      <c r="D4" s="200">
        <v>2.4</v>
      </c>
      <c r="E4" s="200">
        <v>1.5</v>
      </c>
      <c r="F4" s="200">
        <v>1.33</v>
      </c>
      <c r="G4" s="200">
        <v>1.43</v>
      </c>
      <c r="H4" s="200">
        <v>1.25</v>
      </c>
      <c r="J4" s="201"/>
      <c r="K4" s="201"/>
      <c r="L4" s="201"/>
      <c r="M4" s="201"/>
      <c r="N4" s="201"/>
      <c r="O4" s="201"/>
    </row>
    <row r="5" spans="1:15" ht="13.5" thickBot="1" x14ac:dyDescent="0.25">
      <c r="A5" s="199">
        <v>7</v>
      </c>
      <c r="B5" s="200" t="s">
        <v>449</v>
      </c>
      <c r="C5" s="200">
        <v>2.6</v>
      </c>
      <c r="D5" s="200">
        <v>2.6</v>
      </c>
      <c r="E5" s="200">
        <v>1.4</v>
      </c>
      <c r="F5" s="200">
        <v>1.35</v>
      </c>
      <c r="G5" s="200">
        <v>1.4</v>
      </c>
      <c r="H5" s="200">
        <v>1.3</v>
      </c>
      <c r="J5" s="201"/>
      <c r="K5" s="201"/>
      <c r="L5" s="201"/>
      <c r="M5" s="201"/>
      <c r="N5" s="201"/>
      <c r="O5" s="201"/>
    </row>
    <row r="6" spans="1:15" ht="13.5" thickBot="1" x14ac:dyDescent="0.25">
      <c r="A6" s="199">
        <v>7.5</v>
      </c>
      <c r="B6" s="200" t="s">
        <v>449</v>
      </c>
      <c r="C6" s="200">
        <v>2.8</v>
      </c>
      <c r="D6" s="200">
        <v>2.8</v>
      </c>
      <c r="E6" s="200">
        <v>1.45</v>
      </c>
      <c r="F6" s="200">
        <v>1.4</v>
      </c>
      <c r="G6" s="200">
        <v>1.5</v>
      </c>
      <c r="H6" s="200">
        <v>1.26</v>
      </c>
      <c r="J6" s="201"/>
      <c r="K6" s="201"/>
      <c r="L6" s="201"/>
      <c r="M6" s="201"/>
      <c r="N6" s="201"/>
      <c r="O6" s="201"/>
    </row>
    <row r="7" spans="1:15" ht="13.5" thickBot="1" x14ac:dyDescent="0.25">
      <c r="A7" s="199">
        <v>8</v>
      </c>
      <c r="B7" s="200" t="s">
        <v>449</v>
      </c>
      <c r="C7" s="200">
        <v>3</v>
      </c>
      <c r="D7" s="200">
        <v>3</v>
      </c>
      <c r="E7" s="200">
        <v>1.5</v>
      </c>
      <c r="F7" s="200">
        <v>1.4</v>
      </c>
      <c r="G7" s="200">
        <v>1.45</v>
      </c>
      <c r="H7" s="200">
        <v>1.2</v>
      </c>
      <c r="J7" s="201"/>
      <c r="K7" s="201"/>
      <c r="L7" s="201"/>
      <c r="M7" s="201"/>
      <c r="N7" s="201"/>
      <c r="O7" s="201"/>
    </row>
    <row r="8" spans="1:15" ht="13.5" thickBot="1" x14ac:dyDescent="0.25">
      <c r="A8" s="199">
        <v>8.5</v>
      </c>
      <c r="B8" s="200" t="s">
        <v>449</v>
      </c>
      <c r="C8" s="200">
        <v>3.2</v>
      </c>
      <c r="D8" s="200">
        <v>3.2</v>
      </c>
      <c r="E8" s="200">
        <v>1.5</v>
      </c>
      <c r="F8" s="200">
        <v>1.35</v>
      </c>
      <c r="G8" s="200">
        <v>1.45</v>
      </c>
      <c r="H8" s="200">
        <v>1.25</v>
      </c>
      <c r="J8" s="201"/>
      <c r="K8" s="201"/>
      <c r="L8" s="201"/>
      <c r="M8" s="201"/>
      <c r="N8" s="201"/>
      <c r="O8" s="201"/>
    </row>
    <row r="9" spans="1:15" ht="13.5" thickBot="1" x14ac:dyDescent="0.25">
      <c r="A9" s="199">
        <v>9</v>
      </c>
      <c r="B9" s="200" t="s">
        <v>449</v>
      </c>
      <c r="C9" s="200">
        <v>3.4</v>
      </c>
      <c r="D9" s="200">
        <v>3.3</v>
      </c>
      <c r="E9" s="200">
        <v>1.35</v>
      </c>
      <c r="F9" s="200">
        <v>1.25</v>
      </c>
      <c r="G9" s="200">
        <v>1.45</v>
      </c>
      <c r="H9" s="200">
        <v>1.4</v>
      </c>
      <c r="J9" s="201"/>
      <c r="K9" s="201"/>
      <c r="L9" s="201"/>
      <c r="M9" s="201"/>
      <c r="N9" s="201"/>
      <c r="O9" s="201"/>
    </row>
    <row r="10" spans="1:15" ht="13.5" thickBot="1" x14ac:dyDescent="0.25">
      <c r="A10" s="199">
        <v>9.5</v>
      </c>
      <c r="B10" s="200" t="s">
        <v>449</v>
      </c>
      <c r="C10" s="200">
        <v>3.5</v>
      </c>
      <c r="D10" s="200">
        <v>3.4</v>
      </c>
      <c r="E10" s="200">
        <v>1.6</v>
      </c>
      <c r="F10" s="200">
        <v>1.3</v>
      </c>
      <c r="G10" s="200">
        <v>1.4</v>
      </c>
      <c r="H10" s="200">
        <v>1.35</v>
      </c>
      <c r="J10" s="201"/>
      <c r="K10" s="201"/>
      <c r="L10" s="201"/>
      <c r="M10" s="201"/>
      <c r="N10" s="201"/>
      <c r="O10" s="201"/>
    </row>
    <row r="11" spans="1:15" ht="13.5" thickBot="1" x14ac:dyDescent="0.25">
      <c r="A11" s="199">
        <v>10</v>
      </c>
      <c r="B11" s="200" t="s">
        <v>449</v>
      </c>
      <c r="C11" s="200">
        <v>3.6</v>
      </c>
      <c r="D11" s="200">
        <v>3.4</v>
      </c>
      <c r="E11" s="200">
        <v>1.4</v>
      </c>
      <c r="F11" s="200">
        <v>1.35</v>
      </c>
      <c r="G11" s="200">
        <v>1.6</v>
      </c>
      <c r="H11" s="200">
        <v>1.5</v>
      </c>
      <c r="J11" s="201"/>
      <c r="K11" s="201"/>
      <c r="L11" s="201"/>
      <c r="M11" s="201"/>
      <c r="N11" s="201"/>
      <c r="O11" s="201"/>
    </row>
    <row r="12" spans="1:15" ht="13.5" thickBot="1" x14ac:dyDescent="0.25">
      <c r="A12" s="199">
        <v>10.5</v>
      </c>
      <c r="B12" s="200" t="s">
        <v>449</v>
      </c>
      <c r="C12" s="200">
        <v>3.6</v>
      </c>
      <c r="D12" s="200">
        <v>3.4</v>
      </c>
      <c r="E12" s="200">
        <v>1.5</v>
      </c>
      <c r="F12" s="200">
        <v>1.4</v>
      </c>
      <c r="G12" s="200">
        <v>1.6</v>
      </c>
      <c r="H12" s="200">
        <v>1.5</v>
      </c>
      <c r="J12" s="201"/>
      <c r="K12" s="201"/>
      <c r="L12" s="201"/>
      <c r="M12" s="201"/>
      <c r="N12" s="201"/>
      <c r="O12" s="201"/>
    </row>
    <row r="13" spans="1:15" ht="13.5" thickBot="1" x14ac:dyDescent="0.25">
      <c r="A13" s="199">
        <v>11</v>
      </c>
      <c r="B13" s="200" t="s">
        <v>449</v>
      </c>
      <c r="C13" s="200">
        <v>3.6</v>
      </c>
      <c r="D13" s="200">
        <v>3.4</v>
      </c>
      <c r="E13" s="200">
        <v>1.6</v>
      </c>
      <c r="F13" s="200">
        <v>1.45</v>
      </c>
      <c r="G13" s="200">
        <v>1.5</v>
      </c>
      <c r="H13" s="200">
        <v>1.45</v>
      </c>
      <c r="J13" s="201"/>
      <c r="K13" s="201"/>
      <c r="L13" s="201"/>
      <c r="M13" s="201"/>
      <c r="N13" s="201"/>
      <c r="O13" s="201"/>
    </row>
    <row r="14" spans="1:15" ht="13.5" thickBot="1" x14ac:dyDescent="0.25">
      <c r="A14" s="199">
        <v>11.5</v>
      </c>
      <c r="B14" s="200" t="s">
        <v>449</v>
      </c>
      <c r="C14" s="200">
        <v>3.6</v>
      </c>
      <c r="D14" s="200">
        <v>3.4</v>
      </c>
      <c r="E14" s="200">
        <v>1.55</v>
      </c>
      <c r="F14" s="200">
        <v>1.35</v>
      </c>
      <c r="G14" s="200">
        <v>1.45</v>
      </c>
      <c r="H14" s="200">
        <v>1.35</v>
      </c>
      <c r="J14" s="201"/>
      <c r="K14" s="201"/>
      <c r="L14" s="201"/>
      <c r="M14" s="201"/>
      <c r="N14" s="201"/>
      <c r="O14" s="201"/>
    </row>
    <row r="15" spans="1:15" ht="13.5" thickBot="1" x14ac:dyDescent="0.25">
      <c r="A15" s="199">
        <v>12</v>
      </c>
      <c r="B15" s="200" t="s">
        <v>449</v>
      </c>
      <c r="C15" s="200">
        <v>3.6</v>
      </c>
      <c r="D15" s="200">
        <v>3.4</v>
      </c>
      <c r="E15" s="200">
        <v>1.5</v>
      </c>
      <c r="F15" s="200">
        <v>1.4</v>
      </c>
      <c r="G15" s="200">
        <v>1.5</v>
      </c>
      <c r="H15" s="200">
        <v>1.4</v>
      </c>
      <c r="J15" s="201"/>
      <c r="K15" s="201"/>
      <c r="L15" s="201"/>
      <c r="M15" s="201"/>
      <c r="N15" s="201"/>
      <c r="O15" s="201"/>
    </row>
    <row r="16" spans="1:15" ht="13.5" thickBot="1" x14ac:dyDescent="0.25">
      <c r="A16" s="199">
        <v>12.5</v>
      </c>
      <c r="B16" s="200" t="s">
        <v>449</v>
      </c>
      <c r="C16" s="200">
        <v>3.6</v>
      </c>
      <c r="D16" s="200">
        <v>3.4</v>
      </c>
      <c r="E16" s="200">
        <v>1.45</v>
      </c>
      <c r="F16" s="200">
        <v>1.4</v>
      </c>
      <c r="G16" s="200">
        <v>1.45</v>
      </c>
      <c r="H16" s="200">
        <v>1.4</v>
      </c>
      <c r="J16" s="201"/>
      <c r="K16" s="201"/>
      <c r="L16" s="201"/>
      <c r="M16" s="201"/>
      <c r="N16" s="201"/>
      <c r="O16" s="201"/>
    </row>
    <row r="17" spans="1:15" ht="13.5" thickBot="1" x14ac:dyDescent="0.25">
      <c r="A17" s="199">
        <v>13</v>
      </c>
      <c r="B17" s="200" t="s">
        <v>449</v>
      </c>
      <c r="C17" s="200">
        <v>3.6</v>
      </c>
      <c r="D17" s="200">
        <v>3.5</v>
      </c>
      <c r="E17" s="200">
        <v>1.5</v>
      </c>
      <c r="F17" s="200">
        <v>1.45</v>
      </c>
      <c r="G17" s="200">
        <v>1.45</v>
      </c>
      <c r="H17" s="200">
        <v>1.35</v>
      </c>
      <c r="J17" s="201"/>
      <c r="K17" s="201"/>
      <c r="L17" s="201"/>
      <c r="M17" s="201"/>
      <c r="N17" s="201"/>
      <c r="O17" s="201"/>
    </row>
    <row r="18" spans="1:15" ht="13.5" thickBot="1" x14ac:dyDescent="0.25">
      <c r="A18" s="199">
        <v>13</v>
      </c>
      <c r="B18" s="200" t="s">
        <v>445</v>
      </c>
      <c r="C18" s="200" t="s">
        <v>356</v>
      </c>
      <c r="D18" s="200" t="s">
        <v>356</v>
      </c>
      <c r="E18" s="200">
        <v>1.75</v>
      </c>
      <c r="F18" s="200">
        <v>1.1499999999999999</v>
      </c>
      <c r="G18" s="200" t="s">
        <v>356</v>
      </c>
      <c r="H18" s="200" t="s">
        <v>356</v>
      </c>
      <c r="J18" s="201"/>
      <c r="K18" s="201"/>
      <c r="L18" s="201"/>
      <c r="M18" s="201"/>
      <c r="N18" s="201"/>
      <c r="O18" s="201"/>
    </row>
    <row r="19" spans="1:15" ht="13.5" thickBot="1" x14ac:dyDescent="0.25">
      <c r="A19" s="199">
        <v>13.5</v>
      </c>
      <c r="B19" s="200" t="s">
        <v>449</v>
      </c>
      <c r="C19" s="200">
        <v>3.6</v>
      </c>
      <c r="D19" s="200">
        <v>3.4</v>
      </c>
      <c r="E19" s="200">
        <v>1.45</v>
      </c>
      <c r="F19" s="200">
        <v>1.45</v>
      </c>
      <c r="G19" s="200">
        <v>1.45</v>
      </c>
      <c r="H19" s="200">
        <v>1.45</v>
      </c>
      <c r="J19" s="201"/>
      <c r="K19" s="201"/>
      <c r="L19" s="201"/>
      <c r="M19" s="201"/>
      <c r="N19" s="201"/>
      <c r="O19" s="201"/>
    </row>
    <row r="20" spans="1:15" ht="13.5" thickBot="1" x14ac:dyDescent="0.25">
      <c r="A20" s="199">
        <v>14</v>
      </c>
      <c r="B20" s="200" t="s">
        <v>449</v>
      </c>
      <c r="C20" s="200">
        <v>3.6</v>
      </c>
      <c r="D20" s="200">
        <v>3.4</v>
      </c>
      <c r="E20" s="200">
        <v>1.8</v>
      </c>
      <c r="F20" s="200">
        <v>1.4</v>
      </c>
      <c r="G20" s="200">
        <v>1.45</v>
      </c>
      <c r="H20" s="200">
        <v>1.35</v>
      </c>
      <c r="J20" s="201"/>
      <c r="K20" s="201"/>
      <c r="L20" s="201"/>
      <c r="M20" s="201"/>
      <c r="N20" s="201"/>
      <c r="O20" s="201"/>
    </row>
    <row r="21" spans="1:15" ht="13.5" thickBot="1" x14ac:dyDescent="0.25">
      <c r="A21" s="199">
        <v>14</v>
      </c>
      <c r="B21" s="200" t="s">
        <v>445</v>
      </c>
      <c r="C21" s="200">
        <v>4</v>
      </c>
      <c r="D21" s="200">
        <v>3.9</v>
      </c>
      <c r="E21" s="200">
        <v>1.7</v>
      </c>
      <c r="F21" s="200">
        <v>1.25</v>
      </c>
      <c r="G21" s="200" t="s">
        <v>356</v>
      </c>
      <c r="H21" s="200" t="s">
        <v>356</v>
      </c>
      <c r="J21" s="201"/>
      <c r="K21" s="201"/>
      <c r="L21" s="201"/>
      <c r="M21" s="201"/>
      <c r="N21" s="201"/>
      <c r="O21" s="201"/>
    </row>
    <row r="22" spans="1:15" ht="13.5" thickBot="1" x14ac:dyDescent="0.25">
      <c r="A22" s="199">
        <v>15</v>
      </c>
      <c r="B22" s="200" t="s">
        <v>449</v>
      </c>
      <c r="C22" s="200">
        <v>4.5</v>
      </c>
      <c r="D22" s="200">
        <v>4</v>
      </c>
      <c r="E22" s="200">
        <v>1.5</v>
      </c>
      <c r="F22" s="200">
        <v>1.45</v>
      </c>
      <c r="G22" s="200">
        <v>1.5</v>
      </c>
      <c r="H22" s="200">
        <v>1.35</v>
      </c>
      <c r="J22" s="201"/>
      <c r="K22" s="201"/>
      <c r="L22" s="201"/>
      <c r="M22" s="201"/>
      <c r="N22" s="201"/>
      <c r="O22" s="201"/>
    </row>
    <row r="23" spans="1:15" ht="13.5" thickBot="1" x14ac:dyDescent="0.25">
      <c r="A23" s="199">
        <v>15</v>
      </c>
      <c r="B23" s="200" t="s">
        <v>445</v>
      </c>
      <c r="C23" s="200">
        <v>4.5</v>
      </c>
      <c r="D23" s="200">
        <v>4</v>
      </c>
      <c r="E23" s="200">
        <v>1.8</v>
      </c>
      <c r="F23" s="200">
        <v>1.65</v>
      </c>
      <c r="G23" s="200" t="s">
        <v>356</v>
      </c>
      <c r="H23" s="200" t="s">
        <v>356</v>
      </c>
      <c r="J23" s="201"/>
      <c r="K23" s="201"/>
      <c r="L23" s="201"/>
      <c r="M23" s="201"/>
      <c r="N23" s="201"/>
      <c r="O23" s="201"/>
    </row>
    <row r="24" spans="1:15" ht="13.5" thickBot="1" x14ac:dyDescent="0.25">
      <c r="A24" s="199">
        <v>16</v>
      </c>
      <c r="B24" s="200" t="s">
        <v>449</v>
      </c>
      <c r="C24" s="200" t="s">
        <v>356</v>
      </c>
      <c r="D24" s="200" t="s">
        <v>356</v>
      </c>
      <c r="E24" s="200">
        <v>1.5</v>
      </c>
      <c r="F24" s="200">
        <v>1.4</v>
      </c>
      <c r="G24" s="200">
        <v>1.45</v>
      </c>
      <c r="H24" s="200">
        <v>1.4</v>
      </c>
      <c r="J24" s="201"/>
      <c r="K24" s="201"/>
      <c r="L24" s="201"/>
      <c r="M24" s="201"/>
      <c r="N24" s="201"/>
      <c r="O24" s="201"/>
    </row>
    <row r="25" spans="1:15" ht="13.5" thickBot="1" x14ac:dyDescent="0.25">
      <c r="A25" s="199">
        <v>17</v>
      </c>
      <c r="B25" s="200" t="s">
        <v>449</v>
      </c>
      <c r="C25" s="200" t="s">
        <v>356</v>
      </c>
      <c r="D25" s="200" t="s">
        <v>356</v>
      </c>
      <c r="E25" s="200">
        <v>2</v>
      </c>
      <c r="F25" s="200">
        <v>1</v>
      </c>
      <c r="G25" s="200">
        <v>1</v>
      </c>
      <c r="H25" s="200">
        <v>1</v>
      </c>
      <c r="J25" s="201"/>
      <c r="K25" s="201"/>
      <c r="L25" s="201"/>
      <c r="M25" s="201"/>
      <c r="N25" s="201"/>
      <c r="O25" s="201"/>
    </row>
    <row r="26" spans="1:15" ht="13.5" thickBot="1" x14ac:dyDescent="0.25">
      <c r="A26" s="199">
        <v>18</v>
      </c>
      <c r="B26" s="200" t="s">
        <v>449</v>
      </c>
      <c r="C26" s="200" t="s">
        <v>356</v>
      </c>
      <c r="D26" s="200" t="s">
        <v>356</v>
      </c>
      <c r="E26" s="200">
        <v>1.5</v>
      </c>
      <c r="F26" s="200">
        <v>1.4</v>
      </c>
      <c r="G26" s="200">
        <v>1.4</v>
      </c>
      <c r="H26" s="200">
        <v>1.3</v>
      </c>
      <c r="J26" s="201"/>
      <c r="K26" s="201"/>
      <c r="L26" s="201"/>
      <c r="M26" s="201"/>
      <c r="N26" s="201"/>
      <c r="O26" s="201"/>
    </row>
    <row r="27" spans="1:15" ht="13.5" thickBot="1" x14ac:dyDescent="0.25">
      <c r="A27" s="199">
        <v>19</v>
      </c>
      <c r="B27" s="200" t="s">
        <v>449</v>
      </c>
      <c r="C27" s="200" t="s">
        <v>356</v>
      </c>
      <c r="D27" s="200" t="s">
        <v>356</v>
      </c>
      <c r="E27" s="200">
        <v>1.45</v>
      </c>
      <c r="F27" s="200">
        <v>1.35</v>
      </c>
      <c r="G27" s="200">
        <v>1.4</v>
      </c>
      <c r="H27" s="200">
        <v>1.3</v>
      </c>
      <c r="J27" s="201"/>
      <c r="K27" s="201"/>
      <c r="L27" s="201"/>
      <c r="M27" s="201"/>
      <c r="N27" s="201"/>
      <c r="O27" s="201"/>
    </row>
    <row r="28" spans="1:15" ht="13.5" thickBot="1" x14ac:dyDescent="0.25">
      <c r="A28" s="199">
        <v>20</v>
      </c>
      <c r="B28" s="200" t="s">
        <v>449</v>
      </c>
      <c r="C28" s="200" t="s">
        <v>356</v>
      </c>
      <c r="D28" s="200" t="s">
        <v>356</v>
      </c>
      <c r="E28" s="200">
        <v>1.45</v>
      </c>
      <c r="F28" s="200">
        <v>1.35</v>
      </c>
      <c r="G28" s="200">
        <v>1.4</v>
      </c>
      <c r="H28" s="200">
        <v>1.35</v>
      </c>
      <c r="J28" s="201"/>
      <c r="K28" s="201"/>
      <c r="L28" s="201"/>
      <c r="M28" s="201"/>
      <c r="N28" s="201"/>
      <c r="O28" s="201"/>
    </row>
    <row r="29" spans="1:15" ht="13.5" thickBot="1" x14ac:dyDescent="0.25">
      <c r="A29" s="199">
        <v>21</v>
      </c>
      <c r="B29" s="200" t="s">
        <v>449</v>
      </c>
      <c r="C29" s="200" t="s">
        <v>356</v>
      </c>
      <c r="D29" s="200" t="s">
        <v>356</v>
      </c>
      <c r="E29" s="200">
        <v>1.4</v>
      </c>
      <c r="F29" s="200">
        <v>1.35</v>
      </c>
      <c r="G29" s="200">
        <v>1.35</v>
      </c>
      <c r="H29" s="200">
        <v>1.3</v>
      </c>
      <c r="J29" s="201"/>
      <c r="K29" s="201"/>
      <c r="L29" s="201"/>
      <c r="M29" s="201"/>
      <c r="N29" s="201"/>
      <c r="O29" s="201"/>
    </row>
    <row r="30" spans="1:15" ht="13.5" thickBot="1" x14ac:dyDescent="0.25">
      <c r="A30" s="199">
        <v>22</v>
      </c>
      <c r="B30" s="200" t="s">
        <v>449</v>
      </c>
      <c r="C30" s="200" t="s">
        <v>356</v>
      </c>
      <c r="D30" s="200" t="s">
        <v>356</v>
      </c>
      <c r="E30" s="200">
        <v>1.55</v>
      </c>
      <c r="F30" s="200">
        <v>1.3</v>
      </c>
      <c r="G30" s="200">
        <v>1.4</v>
      </c>
      <c r="H30" s="200">
        <v>1.3</v>
      </c>
      <c r="J30" s="201"/>
      <c r="K30" s="201"/>
      <c r="L30" s="201"/>
      <c r="M30" s="201"/>
      <c r="N30" s="201"/>
      <c r="O30" s="201"/>
    </row>
    <row r="31" spans="1:15" ht="13.5" thickBot="1" x14ac:dyDescent="0.25">
      <c r="A31" s="199">
        <v>23</v>
      </c>
      <c r="B31" s="200" t="s">
        <v>449</v>
      </c>
      <c r="C31" s="200" t="s">
        <v>356</v>
      </c>
      <c r="D31" s="200" t="s">
        <v>356</v>
      </c>
      <c r="E31" s="200">
        <v>1.65</v>
      </c>
      <c r="F31" s="200">
        <v>1.1000000000000001</v>
      </c>
      <c r="G31" s="200" t="s">
        <v>356</v>
      </c>
      <c r="H31" s="200" t="s">
        <v>356</v>
      </c>
      <c r="J31" s="201"/>
      <c r="K31" s="201"/>
      <c r="L31" s="201"/>
      <c r="M31" s="201"/>
      <c r="N31" s="201"/>
      <c r="O31" s="201"/>
    </row>
    <row r="32" spans="1:15" x14ac:dyDescent="0.2">
      <c r="J32" s="201"/>
      <c r="K32" s="201"/>
      <c r="L32" s="201"/>
      <c r="M32" s="201"/>
      <c r="N32" s="201"/>
      <c r="O32" s="201"/>
    </row>
    <row r="33" spans="10:15" x14ac:dyDescent="0.2">
      <c r="J33" s="201"/>
      <c r="K33" s="201"/>
      <c r="L33" s="201"/>
      <c r="M33" s="201"/>
      <c r="N33" s="201"/>
      <c r="O33" s="201"/>
    </row>
    <row r="34" spans="10:15" x14ac:dyDescent="0.2">
      <c r="J34" s="201"/>
      <c r="K34" s="201"/>
      <c r="L34" s="201"/>
      <c r="M34" s="201"/>
      <c r="N34" s="201"/>
      <c r="O34" s="201"/>
    </row>
    <row r="35" spans="10:15" x14ac:dyDescent="0.2">
      <c r="J35" s="201"/>
      <c r="K35" s="201"/>
      <c r="L35" s="201"/>
      <c r="M35" s="201"/>
      <c r="N35" s="201"/>
      <c r="O35" s="201"/>
    </row>
    <row r="36" spans="10:15" x14ac:dyDescent="0.2">
      <c r="J36" s="201"/>
      <c r="K36" s="201"/>
      <c r="L36" s="201"/>
      <c r="M36" s="201"/>
      <c r="N36" s="201"/>
      <c r="O36" s="201"/>
    </row>
    <row r="37" spans="10:15" x14ac:dyDescent="0.2">
      <c r="J37" s="201"/>
      <c r="K37" s="201"/>
      <c r="L37" s="201"/>
      <c r="M37" s="201"/>
      <c r="N37" s="201"/>
      <c r="O37" s="201"/>
    </row>
    <row r="38" spans="10:15" x14ac:dyDescent="0.2">
      <c r="J38" s="201"/>
      <c r="K38" s="201"/>
      <c r="L38" s="201"/>
      <c r="M38" s="201"/>
      <c r="N38" s="201"/>
      <c r="O38" s="201"/>
    </row>
    <row r="39" spans="10:15" x14ac:dyDescent="0.2">
      <c r="J39" s="201"/>
      <c r="K39" s="201"/>
      <c r="L39" s="201"/>
      <c r="M39" s="201"/>
      <c r="N39" s="201"/>
      <c r="O39" s="201"/>
    </row>
  </sheetData>
  <mergeCells count="1">
    <mergeCell ref="J2:O3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31</vt:i4>
      </vt:variant>
      <vt:variant>
        <vt:lpstr>Rangos con nombre</vt:lpstr>
      </vt:variant>
      <vt:variant>
        <vt:i4>30</vt:i4>
      </vt:variant>
    </vt:vector>
  </HeadingPairs>
  <TitlesOfParts>
    <vt:vector size="61" baseType="lpstr">
      <vt:lpstr>23</vt:lpstr>
      <vt:lpstr>22</vt:lpstr>
      <vt:lpstr>21</vt:lpstr>
      <vt:lpstr>20</vt:lpstr>
      <vt:lpstr>19</vt:lpstr>
      <vt:lpstr>18</vt:lpstr>
      <vt:lpstr>17</vt:lpstr>
      <vt:lpstr>16</vt:lpstr>
      <vt:lpstr>15</vt:lpstr>
      <vt:lpstr>14</vt:lpstr>
      <vt:lpstr>13,5</vt:lpstr>
      <vt:lpstr>13</vt:lpstr>
      <vt:lpstr>12,5</vt:lpstr>
      <vt:lpstr>12</vt:lpstr>
      <vt:lpstr>11,5</vt:lpstr>
      <vt:lpstr>11 (2)</vt:lpstr>
      <vt:lpstr>11</vt:lpstr>
      <vt:lpstr>10,5</vt:lpstr>
      <vt:lpstr>10</vt:lpstr>
      <vt:lpstr>9,5</vt:lpstr>
      <vt:lpstr>9 LIBRO</vt:lpstr>
      <vt:lpstr>8,5</vt:lpstr>
      <vt:lpstr>8 LIBRO</vt:lpstr>
      <vt:lpstr>8</vt:lpstr>
      <vt:lpstr>7,5</vt:lpstr>
      <vt:lpstr>7,5 LIBRO</vt:lpstr>
      <vt:lpstr>7</vt:lpstr>
      <vt:lpstr>6,5</vt:lpstr>
      <vt:lpstr>6</vt:lpstr>
      <vt:lpstr>5,5 LIBRO</vt:lpstr>
      <vt:lpstr>Resumen</vt:lpstr>
      <vt:lpstr>'10'!Área_de_impresión</vt:lpstr>
      <vt:lpstr>'10,5'!Área_de_impresión</vt:lpstr>
      <vt:lpstr>'11'!Área_de_impresión</vt:lpstr>
      <vt:lpstr>'11 (2)'!Área_de_impresión</vt:lpstr>
      <vt:lpstr>'11,5'!Área_de_impresión</vt:lpstr>
      <vt:lpstr>'12'!Área_de_impresión</vt:lpstr>
      <vt:lpstr>'12,5'!Área_de_impresión</vt:lpstr>
      <vt:lpstr>'13'!Área_de_impresión</vt:lpstr>
      <vt:lpstr>'13,5'!Área_de_impresión</vt:lpstr>
      <vt:lpstr>'14'!Área_de_impresión</vt:lpstr>
      <vt:lpstr>'15'!Área_de_impresión</vt:lpstr>
      <vt:lpstr>'16'!Área_de_impresión</vt:lpstr>
      <vt:lpstr>'17'!Área_de_impresión</vt:lpstr>
      <vt:lpstr>'18'!Área_de_impresión</vt:lpstr>
      <vt:lpstr>'19'!Área_de_impresión</vt:lpstr>
      <vt:lpstr>'20'!Área_de_impresión</vt:lpstr>
      <vt:lpstr>'21'!Área_de_impresión</vt:lpstr>
      <vt:lpstr>'22'!Área_de_impresión</vt:lpstr>
      <vt:lpstr>'23'!Área_de_impresión</vt:lpstr>
      <vt:lpstr>'5,5 LIBRO'!Área_de_impresión</vt:lpstr>
      <vt:lpstr>'6'!Área_de_impresión</vt:lpstr>
      <vt:lpstr>'6,5'!Área_de_impresión</vt:lpstr>
      <vt:lpstr>'7'!Área_de_impresión</vt:lpstr>
      <vt:lpstr>'7,5'!Área_de_impresión</vt:lpstr>
      <vt:lpstr>'7,5 LIBRO'!Área_de_impresión</vt:lpstr>
      <vt:lpstr>'8'!Área_de_impresión</vt:lpstr>
      <vt:lpstr>'8 LIBRO'!Área_de_impresión</vt:lpstr>
      <vt:lpstr>'8,5'!Área_de_impresión</vt:lpstr>
      <vt:lpstr>'9 LIBRO'!Área_de_impresión</vt:lpstr>
      <vt:lpstr>'9,5'!Área_de_impresión</vt:lpstr>
    </vt:vector>
  </TitlesOfParts>
  <Company>Aceralia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p383675</dc:creator>
  <cp:lastModifiedBy>mañana</cp:lastModifiedBy>
  <cp:lastPrinted>2018-08-02T14:56:19Z</cp:lastPrinted>
  <dcterms:created xsi:type="dcterms:W3CDTF">2007-07-24T07:55:59Z</dcterms:created>
  <dcterms:modified xsi:type="dcterms:W3CDTF">2026-10-20T09:08:40Z</dcterms:modified>
</cp:coreProperties>
</file>